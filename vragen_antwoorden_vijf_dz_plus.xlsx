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320473a3d91f65/R Projects/Beleggersprofiel/shiny_vertaler/"/>
    </mc:Choice>
  </mc:AlternateContent>
  <xr:revisionPtr revIDLastSave="13" documentId="8_{7DD4128A-3640-514A-A7E0-5F2AAB1F81D5}" xr6:coauthVersionLast="47" xr6:coauthVersionMax="47" xr10:uidLastSave="{6E62D67C-4D81-8E49-8849-10DE53F0C48F}"/>
  <bookViews>
    <workbookView xWindow="0" yWindow="1040" windowWidth="30240" windowHeight="17720" firstSheet="4" activeTab="10" xr2:uid="{00000000-000D-0000-FFFF-FFFF00000000}"/>
  </bookViews>
  <sheets>
    <sheet name="Risicoprofiel bepalen - bron" sheetId="18" r:id="rId1"/>
    <sheet name="vragen org" sheetId="19" r:id="rId2"/>
    <sheet name="vragen_antwoorden org" sheetId="23" r:id="rId3"/>
    <sheet name="vragen_antwoorden_prive_nl" sheetId="27" r:id="rId4"/>
    <sheet name="vragen_antwoorden_prive_en" sheetId="40" r:id="rId5"/>
    <sheet name="vragen_antwoorden_enof_nl" sheetId="33" r:id="rId6"/>
    <sheet name="vragen_antwoorden_enof_en" sheetId="41" r:id="rId7"/>
    <sheet name="vragen_antwoorden_bv_nl" sheetId="35" r:id="rId8"/>
    <sheet name="vragen_antwoorden_bv_en" sheetId="42" r:id="rId9"/>
    <sheet name="vragen_antwoorden_ve_nl" sheetId="36" r:id="rId10"/>
    <sheet name="vragen_antwoorden_ve_en" sheetId="43" r:id="rId11"/>
    <sheet name="vragen_antwoorden_st_backup" sheetId="37" r:id="rId12"/>
    <sheet name="vragen_antwoorden_ov_backup" sheetId="39" r:id="rId13"/>
    <sheet name="vertaaltabel" sheetId="29" r:id="rId14"/>
    <sheet name="Sheet1" sheetId="30" r:id="rId15"/>
    <sheet name="geschrapte vragen" sheetId="34" r:id="rId16"/>
  </sheets>
  <definedNames>
    <definedName name="_xlnm._FilterDatabase" localSheetId="8" hidden="1">vragen_antwoorden_bv_en!#REF!</definedName>
    <definedName name="_xlnm._FilterDatabase" localSheetId="7" hidden="1">vragen_antwoorden_bv_nl!#REF!</definedName>
    <definedName name="_xlnm._FilterDatabase" localSheetId="6" hidden="1">vragen_antwoorden_enof_en!#REF!</definedName>
    <definedName name="_xlnm._FilterDatabase" localSheetId="5" hidden="1">vragen_antwoorden_enof_nl!#REF!</definedName>
    <definedName name="_xlnm._FilterDatabase" localSheetId="12" hidden="1">vragen_antwoorden_ov_backup!#REF!</definedName>
    <definedName name="_xlnm._FilterDatabase" localSheetId="4" hidden="1">vragen_antwoorden_prive_en!#REF!</definedName>
    <definedName name="_xlnm._FilterDatabase" localSheetId="3" hidden="1">vragen_antwoorden_prive_nl!#REF!</definedName>
    <definedName name="_xlnm._FilterDatabase" localSheetId="11" hidden="1">vragen_antwoorden_st_backup!#REF!</definedName>
    <definedName name="_xlnm._FilterDatabase" localSheetId="10" hidden="1">vragen_antwoorden_ve_en!#REF!</definedName>
    <definedName name="_xlnm._FilterDatabase" localSheetId="9" hidden="1">vragen_antwoorden_ve_nl!#REF!</definedName>
    <definedName name="_xlnm.Extract" localSheetId="8">vragen_antwoorden_bv_en!#REF!</definedName>
    <definedName name="_xlnm.Extract" localSheetId="7">vragen_antwoorden_bv_nl!#REF!</definedName>
    <definedName name="_xlnm.Extract" localSheetId="6">vragen_antwoorden_enof_en!#REF!</definedName>
    <definedName name="_xlnm.Extract" localSheetId="5">vragen_antwoorden_enof_nl!#REF!</definedName>
    <definedName name="_xlnm.Extract" localSheetId="12">vragen_antwoorden_ov_backup!#REF!</definedName>
    <definedName name="_xlnm.Extract" localSheetId="4">vragen_antwoorden_prive_en!#REF!</definedName>
    <definedName name="_xlnm.Extract" localSheetId="3">vragen_antwoorden_prive_nl!#REF!</definedName>
    <definedName name="_xlnm.Extract" localSheetId="11">vragen_antwoorden_st_backup!#REF!</definedName>
    <definedName name="_xlnm.Extract" localSheetId="10">vragen_antwoorden_ve_en!#REF!</definedName>
    <definedName name="_xlnm.Extract" localSheetId="9">vragen_antwoorden_ve_nl!#REF!</definedName>
    <definedName name="_xlnm.Print_Area" localSheetId="0">'Risicoprofiel bepalen - bron'!$A$1:$H$121</definedName>
    <definedName name="_xlnm.Print_Titles" localSheetId="0">'Risicoprofiel bepalen - bron'!$1:$6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4" i="27" l="1"/>
  <c r="F62" i="40"/>
  <c r="F62" i="41"/>
  <c r="F59" i="42"/>
  <c r="F62" i="43"/>
  <c r="F54" i="40"/>
  <c r="F54" i="41"/>
  <c r="F65" i="39"/>
  <c r="F63" i="39"/>
  <c r="F61" i="39"/>
  <c r="F59" i="39"/>
  <c r="F57" i="39"/>
  <c r="F50" i="39"/>
  <c r="F46" i="39"/>
  <c r="F42" i="39"/>
  <c r="F40" i="39"/>
  <c r="F38" i="39"/>
  <c r="F35" i="39"/>
  <c r="F31" i="39"/>
  <c r="F28" i="39"/>
  <c r="F25" i="39"/>
  <c r="F22" i="39"/>
  <c r="F20" i="39"/>
  <c r="F16" i="39"/>
  <c r="F13" i="39"/>
  <c r="F9" i="39"/>
  <c r="F7" i="39"/>
  <c r="F5" i="39"/>
  <c r="F65" i="37"/>
  <c r="F60" i="36"/>
  <c r="F60" i="33"/>
  <c r="F60" i="27"/>
  <c r="F57" i="35"/>
  <c r="F10" i="27"/>
  <c r="F19" i="34"/>
  <c r="F14" i="34"/>
  <c r="F8" i="34"/>
  <c r="F59" i="37"/>
  <c r="F54" i="36"/>
  <c r="F51" i="35"/>
  <c r="F54" i="33"/>
  <c r="F63" i="37"/>
  <c r="F61" i="37"/>
  <c r="F57" i="37"/>
  <c r="F50" i="37"/>
  <c r="F46" i="37"/>
  <c r="F42" i="37"/>
  <c r="F40" i="37"/>
  <c r="F38" i="37"/>
  <c r="F35" i="37"/>
  <c r="F31" i="37"/>
  <c r="F28" i="37"/>
  <c r="F25" i="37"/>
  <c r="F22" i="37"/>
  <c r="F20" i="37"/>
  <c r="F16" i="37"/>
  <c r="F13" i="37"/>
  <c r="F9" i="37"/>
  <c r="F7" i="37"/>
  <c r="F5" i="37"/>
  <c r="F58" i="36"/>
  <c r="F56" i="36"/>
  <c r="F52" i="36"/>
  <c r="F50" i="36"/>
  <c r="F46" i="36"/>
  <c r="F42" i="36"/>
  <c r="F40" i="36"/>
  <c r="F38" i="36"/>
  <c r="F35" i="36"/>
  <c r="F31" i="36"/>
  <c r="F28" i="36"/>
  <c r="F25" i="36"/>
  <c r="F22" i="36"/>
  <c r="F20" i="36"/>
  <c r="F16" i="36"/>
  <c r="F13" i="36"/>
  <c r="F9" i="36"/>
  <c r="F7" i="36"/>
  <c r="F5" i="36"/>
  <c r="F56" i="27"/>
  <c r="F56" i="33"/>
  <c r="F53" i="35"/>
  <c r="F55" i="35"/>
  <c r="F49" i="35"/>
  <c r="F47" i="35"/>
  <c r="F43" i="35"/>
  <c r="F39" i="35"/>
  <c r="F37" i="35"/>
  <c r="F35" i="35"/>
  <c r="F32" i="35"/>
  <c r="F28" i="35"/>
  <c r="F25" i="35"/>
  <c r="F22" i="35"/>
  <c r="F19" i="35"/>
  <c r="F17" i="35"/>
  <c r="F13" i="35"/>
  <c r="F10" i="35"/>
  <c r="F7" i="35"/>
  <c r="F5" i="35"/>
  <c r="F58" i="27"/>
  <c r="F58" i="33"/>
  <c r="F52" i="33"/>
  <c r="F42" i="27"/>
  <c r="F13" i="27"/>
  <c r="F35" i="27"/>
  <c r="F37" i="33"/>
  <c r="F50" i="27"/>
  <c r="F49" i="33"/>
  <c r="F46" i="33"/>
  <c r="F43" i="33"/>
  <c r="F40" i="33"/>
  <c r="F34" i="33"/>
  <c r="F31" i="33"/>
  <c r="F28" i="33"/>
  <c r="F25" i="33"/>
  <c r="F22" i="33"/>
  <c r="F20" i="33"/>
  <c r="F16" i="33"/>
  <c r="F14" i="33"/>
  <c r="F10" i="33"/>
  <c r="F7" i="33"/>
  <c r="F5" i="33"/>
  <c r="F7" i="27"/>
  <c r="F13" i="43" l="1"/>
  <c r="F9" i="43"/>
  <c r="F22" i="43"/>
  <c r="F31" i="43"/>
  <c r="F7" i="43"/>
  <c r="F50" i="43"/>
  <c r="F56" i="43"/>
  <c r="F42" i="43"/>
  <c r="F60" i="43"/>
  <c r="F5" i="43"/>
  <c r="F38" i="43"/>
  <c r="F25" i="43"/>
  <c r="F54" i="43"/>
  <c r="F52" i="43"/>
  <c r="F20" i="43"/>
  <c r="F40" i="43"/>
  <c r="F28" i="43"/>
  <c r="F16" i="43"/>
  <c r="F35" i="43"/>
  <c r="F46" i="43"/>
  <c r="F58" i="43"/>
  <c r="F22" i="42"/>
  <c r="F51" i="42"/>
  <c r="F19" i="42"/>
  <c r="F7" i="42"/>
  <c r="F37" i="42"/>
  <c r="F49" i="42"/>
  <c r="F47" i="42"/>
  <c r="F17" i="42"/>
  <c r="F5" i="42"/>
  <c r="F25" i="42"/>
  <c r="F10" i="42"/>
  <c r="F43" i="42"/>
  <c r="F28" i="42"/>
  <c r="F57" i="42"/>
  <c r="F13" i="42"/>
  <c r="F55" i="42"/>
  <c r="F35" i="42"/>
  <c r="F53" i="42"/>
  <c r="F32" i="42"/>
  <c r="F39" i="42"/>
  <c r="D3" i="29"/>
  <c r="D4" i="29" s="1"/>
  <c r="D5" i="29" s="1"/>
  <c r="D6" i="29" s="1"/>
  <c r="D7" i="29" s="1"/>
  <c r="D8" i="29" s="1"/>
  <c r="D9" i="29" s="1"/>
  <c r="D10" i="29" s="1"/>
  <c r="D11" i="29" s="1"/>
  <c r="D12" i="29" s="1"/>
  <c r="D13" i="29" s="1"/>
  <c r="C3" i="29"/>
  <c r="F28" i="27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F38" i="27"/>
  <c r="F31" i="27"/>
  <c r="F52" i="27"/>
  <c r="F46" i="27"/>
  <c r="F40" i="27"/>
  <c r="F25" i="27"/>
  <c r="F16" i="27"/>
  <c r="F22" i="27"/>
  <c r="F20" i="27"/>
  <c r="F5" i="27"/>
  <c r="E54" i="23"/>
  <c r="C54" i="23"/>
  <c r="B54" i="23"/>
  <c r="H53" i="23"/>
  <c r="E53" i="23"/>
  <c r="C53" i="23"/>
  <c r="B53" i="23"/>
  <c r="E52" i="23"/>
  <c r="C52" i="23"/>
  <c r="B52" i="23"/>
  <c r="E51" i="23"/>
  <c r="C51" i="23"/>
  <c r="B51" i="23"/>
  <c r="E50" i="23"/>
  <c r="C50" i="23"/>
  <c r="B50" i="23"/>
  <c r="E49" i="23"/>
  <c r="C49" i="23"/>
  <c r="B49" i="23"/>
  <c r="E48" i="23"/>
  <c r="C48" i="23"/>
  <c r="B48" i="23"/>
  <c r="H47" i="23"/>
  <c r="E47" i="23"/>
  <c r="C47" i="23"/>
  <c r="B47" i="23"/>
  <c r="E46" i="23"/>
  <c r="C46" i="23"/>
  <c r="B46" i="23"/>
  <c r="E45" i="23"/>
  <c r="C45" i="23"/>
  <c r="B45" i="23"/>
  <c r="H44" i="23"/>
  <c r="E44" i="23"/>
  <c r="C44" i="23"/>
  <c r="B44" i="23"/>
  <c r="E43" i="23"/>
  <c r="C43" i="23"/>
  <c r="B43" i="23"/>
  <c r="E42" i="23"/>
  <c r="C42" i="23"/>
  <c r="B42" i="23"/>
  <c r="E41" i="23"/>
  <c r="C41" i="23"/>
  <c r="B41" i="23"/>
  <c r="E40" i="23"/>
  <c r="C40" i="23"/>
  <c r="B40" i="23"/>
  <c r="H39" i="23"/>
  <c r="E39" i="23"/>
  <c r="C39" i="23"/>
  <c r="B39" i="23"/>
  <c r="E38" i="23"/>
  <c r="C38" i="23"/>
  <c r="B38" i="23"/>
  <c r="E37" i="23"/>
  <c r="C37" i="23"/>
  <c r="B37" i="23"/>
  <c r="E36" i="23"/>
  <c r="C36" i="23"/>
  <c r="B36" i="23"/>
  <c r="H35" i="23"/>
  <c r="E35" i="23"/>
  <c r="C35" i="23"/>
  <c r="B35" i="23"/>
  <c r="E34" i="23"/>
  <c r="C34" i="23"/>
  <c r="B34" i="23"/>
  <c r="E33" i="23"/>
  <c r="C33" i="23"/>
  <c r="B33" i="23"/>
  <c r="E32" i="23"/>
  <c r="C32" i="23"/>
  <c r="B32" i="23"/>
  <c r="H31" i="23"/>
  <c r="E31" i="23"/>
  <c r="C31" i="23"/>
  <c r="B31" i="23"/>
  <c r="E30" i="23"/>
  <c r="C30" i="23"/>
  <c r="B30" i="23"/>
  <c r="E29" i="23"/>
  <c r="C29" i="23"/>
  <c r="B29" i="23"/>
  <c r="E28" i="23"/>
  <c r="C28" i="23"/>
  <c r="B28" i="23"/>
  <c r="E27" i="23"/>
  <c r="C27" i="23"/>
  <c r="B27" i="23"/>
  <c r="H26" i="23"/>
  <c r="E26" i="23"/>
  <c r="C26" i="23"/>
  <c r="B26" i="23"/>
  <c r="E25" i="23"/>
  <c r="C25" i="23"/>
  <c r="B25" i="23"/>
  <c r="E24" i="23"/>
  <c r="C24" i="23"/>
  <c r="B24" i="23"/>
  <c r="E23" i="23"/>
  <c r="C23" i="23"/>
  <c r="B23" i="23"/>
  <c r="H22" i="23"/>
  <c r="E22" i="23"/>
  <c r="C22" i="23"/>
  <c r="B22" i="23"/>
  <c r="E21" i="23"/>
  <c r="C21" i="23"/>
  <c r="B21" i="23"/>
  <c r="E20" i="23"/>
  <c r="C20" i="23"/>
  <c r="B20" i="23"/>
  <c r="E19" i="23"/>
  <c r="C19" i="23"/>
  <c r="B19" i="23"/>
  <c r="H18" i="23"/>
  <c r="E18" i="23"/>
  <c r="C18" i="23"/>
  <c r="B18" i="23"/>
  <c r="E17" i="23"/>
  <c r="C17" i="23"/>
  <c r="B17" i="23"/>
  <c r="E16" i="23"/>
  <c r="C16" i="23"/>
  <c r="B16" i="23"/>
  <c r="E15" i="23"/>
  <c r="C15" i="23"/>
  <c r="B15" i="23"/>
  <c r="E14" i="23"/>
  <c r="C14" i="23"/>
  <c r="B14" i="23"/>
  <c r="H13" i="23"/>
  <c r="E13" i="23"/>
  <c r="C13" i="23"/>
  <c r="B13" i="23"/>
  <c r="E12" i="23"/>
  <c r="C12" i="23"/>
  <c r="B12" i="23"/>
  <c r="E11" i="23"/>
  <c r="C11" i="23"/>
  <c r="B11" i="23"/>
  <c r="H10" i="23"/>
  <c r="E10" i="23"/>
  <c r="C10" i="23"/>
  <c r="B10" i="23"/>
  <c r="E9" i="23"/>
  <c r="C9" i="23"/>
  <c r="B9" i="23"/>
  <c r="E8" i="23"/>
  <c r="C8" i="23"/>
  <c r="B8" i="23"/>
  <c r="E7" i="23"/>
  <c r="C7" i="23"/>
  <c r="B7" i="23"/>
  <c r="E6" i="23"/>
  <c r="C6" i="23"/>
  <c r="B6" i="23"/>
  <c r="E5" i="23"/>
  <c r="C5" i="23"/>
  <c r="B5" i="23"/>
  <c r="E4" i="23"/>
  <c r="C4" i="23"/>
  <c r="B4" i="23"/>
  <c r="H3" i="23"/>
  <c r="E3" i="23"/>
  <c r="C3" i="23"/>
  <c r="B3" i="23"/>
  <c r="E2" i="23"/>
  <c r="C2" i="23"/>
  <c r="B2" i="23"/>
  <c r="F9" i="18"/>
  <c r="F10" i="18"/>
  <c r="F11" i="18"/>
  <c r="F12" i="18"/>
  <c r="F17" i="18"/>
  <c r="F18" i="18"/>
  <c r="F19" i="18"/>
  <c r="F20" i="18"/>
  <c r="F21" i="18"/>
  <c r="F25" i="18"/>
  <c r="F26" i="18"/>
  <c r="F27" i="18"/>
  <c r="F28" i="18"/>
  <c r="F29" i="18"/>
  <c r="F33" i="18"/>
  <c r="F34" i="18"/>
  <c r="F35" i="18"/>
  <c r="F36" i="18"/>
  <c r="F40" i="18"/>
  <c r="F41" i="18"/>
  <c r="F42" i="18"/>
  <c r="F43" i="18"/>
  <c r="F44" i="18"/>
  <c r="F49" i="18"/>
  <c r="F50" i="18"/>
  <c r="F51" i="18"/>
  <c r="F52" i="18"/>
  <c r="F56" i="18"/>
  <c r="F57" i="18"/>
  <c r="F58" i="18"/>
  <c r="F59" i="18"/>
  <c r="F63" i="18"/>
  <c r="F64" i="18"/>
  <c r="F65" i="18"/>
  <c r="F66" i="18"/>
  <c r="F70" i="18"/>
  <c r="F71" i="18"/>
  <c r="F72" i="18"/>
  <c r="F73" i="18"/>
  <c r="F77" i="18"/>
  <c r="F78" i="18"/>
  <c r="F79" i="18"/>
  <c r="F80" i="18"/>
  <c r="F81" i="18"/>
  <c r="F85" i="18"/>
  <c r="F86" i="18"/>
  <c r="F87" i="18"/>
  <c r="F88" i="18"/>
  <c r="V56" i="18"/>
  <c r="V71" i="18"/>
  <c r="V70" i="18"/>
  <c r="V68" i="18"/>
  <c r="V66" i="18"/>
  <c r="V65" i="18"/>
  <c r="V64" i="18"/>
  <c r="V63" i="18"/>
  <c r="V61" i="18"/>
  <c r="V59" i="18"/>
  <c r="V58" i="18"/>
  <c r="V57" i="18"/>
  <c r="V54" i="18"/>
  <c r="V52" i="18"/>
  <c r="V51" i="18"/>
  <c r="V50" i="18"/>
  <c r="V49" i="18"/>
  <c r="V47" i="18"/>
  <c r="V44" i="18"/>
  <c r="V43" i="18"/>
  <c r="V42" i="18"/>
  <c r="V41" i="18"/>
  <c r="V40" i="18"/>
  <c r="V39" i="18"/>
  <c r="V36" i="18"/>
  <c r="V35" i="18"/>
  <c r="V34" i="18"/>
  <c r="V33" i="18"/>
  <c r="V31" i="18"/>
  <c r="V28" i="18"/>
  <c r="V27" i="18"/>
  <c r="V26" i="18"/>
  <c r="V25" i="18"/>
  <c r="V23" i="18"/>
  <c r="V21" i="18"/>
  <c r="V20" i="18"/>
  <c r="V19" i="18"/>
  <c r="V18" i="18"/>
  <c r="V17" i="18"/>
  <c r="V14" i="18"/>
  <c r="V9" i="18"/>
  <c r="V10" i="18"/>
  <c r="V11" i="18"/>
  <c r="V12" i="18"/>
  <c r="V8" i="18"/>
  <c r="W77" i="18"/>
  <c r="C4" i="29" l="1"/>
  <c r="E102" i="18"/>
  <c r="D102" i="18" s="1"/>
  <c r="C5" i="29" l="1"/>
  <c r="C6" i="29" l="1"/>
  <c r="C7" i="29" l="1"/>
  <c r="C8" i="29" l="1"/>
  <c r="C9" i="29" l="1"/>
  <c r="C10" i="29" l="1"/>
  <c r="C11" i="29" l="1"/>
  <c r="C12" i="29" l="1"/>
  <c r="C13" i="29" l="1"/>
</calcChain>
</file>

<file path=xl/sharedStrings.xml><?xml version="1.0" encoding="utf-8"?>
<sst xmlns="http://schemas.openxmlformats.org/spreadsheetml/2006/main" count="3242" uniqueCount="708">
  <si>
    <t>Minder dan 25%</t>
  </si>
  <si>
    <t>Wat is uw beleggingsdoelstelling ?</t>
  </si>
  <si>
    <t>X</t>
  </si>
  <si>
    <t>Jaarlijkse aanvulling op het huidige inkomen</t>
  </si>
  <si>
    <t>Ik ben van plan:</t>
  </si>
  <si>
    <t>Welke gevolgen heeft het niet halen van uw beleggingsdoelstellingen ?</t>
  </si>
  <si>
    <t>Meer dan 75%</t>
  </si>
  <si>
    <t>50% - 75%</t>
  </si>
  <si>
    <t>25% - 50%</t>
  </si>
  <si>
    <t>Uw huidige inkomen (uit loon, pensioen onderneming ed) is :</t>
  </si>
  <si>
    <t>Welke kansverdeling spreekt u het meest aan voor het door U te beleggen vermogen ?</t>
  </si>
  <si>
    <t>Een jaarlijks rendement gelijk aan de spaarrente, ook in een slecht jaar.</t>
  </si>
  <si>
    <t>Hoe vaak controleert u de waarde van uw portefeuille ?</t>
  </si>
  <si>
    <t>Bij een waardedaling kleiner dan 10%</t>
  </si>
  <si>
    <t>Bij een waardedaling kleiner dan 25%</t>
  </si>
  <si>
    <t>Waaruit bestaat uw huidige beleggingsportefeuille ?</t>
  </si>
  <si>
    <t>Wat is uw beleggershorizon ? (Hoelang denkt u uw beleggingen aan te houden?)</t>
  </si>
  <si>
    <t>Heeft u ervaring met beleggen ?</t>
  </si>
  <si>
    <t>Wat is uw rendementsdoelstelling ?</t>
  </si>
  <si>
    <t>Risico-acceptatieprofiel op basis van de puntentelling :</t>
  </si>
  <si>
    <t xml:space="preserve">Beleggingsprofiel </t>
  </si>
  <si>
    <t>Defensieve belegger</t>
  </si>
  <si>
    <t>Gematigd Defensieve belegger</t>
  </si>
  <si>
    <t>Neutrale belegger</t>
  </si>
  <si>
    <t>Gematigd Offensieve belegger</t>
  </si>
  <si>
    <t>Offensieve belegger</t>
  </si>
  <si>
    <t xml:space="preserve"> </t>
  </si>
  <si>
    <t>Onvoldoende om uw vaste lasten en kosten van levensonderhoud te betalen. U komt maandelijks geld tekort.</t>
  </si>
  <si>
    <t>Soms voldoende, soms onvoldoende. Aan het eind van het jaar komt u ongeveer uit.</t>
  </si>
  <si>
    <t>Voldoende om uw vaste lasten en kosten van levensonderhoud te betalen. U kunt maandelijks een bedrag opzij zetten.</t>
  </si>
  <si>
    <t>Ruim voldoende om uw vaste lasten en kosten van levensonderhoud te betalen.</t>
  </si>
  <si>
    <t>Bij welke tussentijdse waardedaling van uw portefeuille maakt u zich nog geen zorgen ?</t>
  </si>
  <si>
    <t>Naam :</t>
  </si>
  <si>
    <t>Bent U van plan tussentijds vermogen aan uw beleggingsportefeuille te onttrekken of juist vervolgstortingen te doen ?</t>
  </si>
  <si>
    <t>Punten</t>
  </si>
  <si>
    <t xml:space="preserve">Punten </t>
  </si>
  <si>
    <t>te behalen</t>
  </si>
  <si>
    <t>Adres :</t>
  </si>
  <si>
    <t>Woonplaats :</t>
  </si>
  <si>
    <t>Voldoende om maandelijks een aanzienlijk bedrag opzij te zetten.</t>
  </si>
  <si>
    <t>Dit heeft noch financiële, noch emotionele gevolgen</t>
  </si>
  <si>
    <t>Financiering van een toekomstige uitgave, bv de studie van kinderen, of eerder stoppen met werken</t>
  </si>
  <si>
    <t>Welk deel van uw vrij beschikbare vermogen (exclusief de eigen woning) is of wordt belegd op de rekening die wordt beheerd door B.A. van Doorn Comp ?</t>
  </si>
  <si>
    <t>Vermogensgroei of vermogensbehoud met een bepaald doelvermogen</t>
  </si>
  <si>
    <t>Vermogensgroei of vermogensbehoud zonder een bepaald doelvermogen</t>
  </si>
  <si>
    <t>Neutrale Defensieve belegger</t>
  </si>
  <si>
    <t>Neutrale offensiefe belegger</t>
  </si>
  <si>
    <t>zeer offensieve belegger</t>
  </si>
  <si>
    <t>zeer defensieve belegger</t>
  </si>
  <si>
    <t>Punten: 0 - 2</t>
  </si>
  <si>
    <t>Punten: 3 - 8</t>
  </si>
  <si>
    <t>Punten: 9 - 12</t>
  </si>
  <si>
    <t>50RD50RM =&gt; Neutraal :</t>
  </si>
  <si>
    <t>Punten: 19 - 26</t>
  </si>
  <si>
    <t>Punten: 13 - 18</t>
  </si>
  <si>
    <t>60RD40RM =&gt; Neutraal offensief :</t>
  </si>
  <si>
    <t>40RD60RM =&gt; Neutraal defensief :</t>
  </si>
  <si>
    <t>30RD70RM =&gt; Gematigd defensief :</t>
  </si>
  <si>
    <t>20RD80RM =&gt; Defensief :</t>
  </si>
  <si>
    <t>100RM =&gt; Zeer defensief :</t>
  </si>
  <si>
    <t>Punten: 27- 32</t>
  </si>
  <si>
    <t>70RD30RM =&gt; Gematigd offensief :</t>
  </si>
  <si>
    <t>Punten: 33 - 36</t>
  </si>
  <si>
    <t>80RD20RM =&gt; Offensief :</t>
  </si>
  <si>
    <t>100RD =&gt; Zeer Offensief :</t>
  </si>
  <si>
    <t>Punten: 37 - 42</t>
  </si>
  <si>
    <t>Punten: 43-45</t>
  </si>
  <si>
    <t>TOTAAL</t>
  </si>
  <si>
    <r>
      <t xml:space="preserve">RISICOPROFIEL    BEPALEN </t>
    </r>
    <r>
      <rPr>
        <b/>
        <sz val="24"/>
        <color rgb="FF629080"/>
        <rFont val="Arial"/>
        <family val="2"/>
      </rPr>
      <t>PARTICULIER</t>
    </r>
  </si>
  <si>
    <t>A</t>
  </si>
  <si>
    <t>B</t>
  </si>
  <si>
    <t>C</t>
  </si>
  <si>
    <t>D</t>
  </si>
  <si>
    <t>E</t>
  </si>
  <si>
    <t>Periodiek te onttrekken</t>
  </si>
  <si>
    <t>Periodiek bij te storten</t>
  </si>
  <si>
    <t>Incidenteel te onttrekken</t>
  </si>
  <si>
    <t>Incidenteel bij te storten</t>
  </si>
  <si>
    <t>Geen of een combinatie van bovenstaande mogelijkheden</t>
  </si>
  <si>
    <t>Ik zou teleurgesteld zijn, maar het zou nauwelijks invloed hebben op mijn levenspeil</t>
  </si>
  <si>
    <t>Dit zou grote financiële en emotionele consequenties hebben</t>
  </si>
  <si>
    <t>Ik zou mijn levensstandaard moeten aanpassen</t>
  </si>
  <si>
    <t>Iedere dag</t>
  </si>
  <si>
    <t>Iedere maand</t>
  </si>
  <si>
    <t>Ieder kwartaal</t>
  </si>
  <si>
    <t>Eens in het jaar</t>
  </si>
  <si>
    <t>Bij geen enkele, de waarde mag absoluut niet dalen</t>
  </si>
  <si>
    <t>Dat hangt af van het negatieve rendement van de markt (index)</t>
  </si>
  <si>
    <t>Geheel of bijna geheel uit cash en spaargeld</t>
  </si>
  <si>
    <t>Geheel of bijna geheel uit aandelen en/of derivaten</t>
  </si>
  <si>
    <t>Een mengeling van aandelen, obligaties en andere beleggingen</t>
  </si>
  <si>
    <t>Geheel of bijna geheel uit obligaties en spaargeld</t>
  </si>
  <si>
    <t>Langer dan 5 jaar, maar korter dan 10 jaar</t>
  </si>
  <si>
    <t>Langer dan 10 jaar, maar korter dan 15 jaar</t>
  </si>
  <si>
    <t>Langer dan 15 jaar</t>
  </si>
  <si>
    <t>Ja, ruimschoots en voor langere tijd</t>
  </si>
  <si>
    <t>Ja, maar in beperkte mate</t>
  </si>
  <si>
    <t>Nee, maar ik volg wel het financiële nieuws</t>
  </si>
  <si>
    <t>Nee</t>
  </si>
  <si>
    <t>Dit is een controlevraag.Uw antwoord dient te passen bij uw risicoprofiel.</t>
  </si>
  <si>
    <t>3% gemiddeld per jaar</t>
  </si>
  <si>
    <t>4% gemiddeld per jaar</t>
  </si>
  <si>
    <t>Dit zou gevolgen hebben voor……………………….</t>
  </si>
  <si>
    <t>Korter dan 1 jaar</t>
  </si>
  <si>
    <t>Langer dan 1 jaar, korter dan 5 jaar</t>
  </si>
  <si>
    <t xml:space="preserve">100RM </t>
  </si>
  <si>
    <t xml:space="preserve">20RD80RM </t>
  </si>
  <si>
    <t xml:space="preserve">30RD70RM </t>
  </si>
  <si>
    <t xml:space="preserve">40RD60RM </t>
  </si>
  <si>
    <t xml:space="preserve">50RD50RM </t>
  </si>
  <si>
    <t xml:space="preserve">60RD40RM </t>
  </si>
  <si>
    <t xml:space="preserve">70RD30RM </t>
  </si>
  <si>
    <t xml:space="preserve">80RD20RM </t>
  </si>
  <si>
    <t xml:space="preserve">100RD </t>
  </si>
  <si>
    <t>Een gemiddeld rendement van 6%, maar in een slecht jaar kan ik uitkomen op min 29%</t>
  </si>
  <si>
    <t>Een gemiddeld rendement van 3%, maar in een slecht jaar kan ik uitkomen op min 14%</t>
  </si>
  <si>
    <t>Een gemiddeld rendement van 1%, maar in een slecht jaar kan ik uitkomen op min 8%</t>
  </si>
  <si>
    <t>1% gemiddeld per jaar</t>
  </si>
  <si>
    <t>2% gemiddeld per jaar</t>
  </si>
  <si>
    <t>5% of meer</t>
  </si>
  <si>
    <t>x</t>
  </si>
  <si>
    <t>Wat is uw beleggingsdoelstelling?</t>
  </si>
  <si>
    <t>nummer</t>
  </si>
  <si>
    <t>vraag</t>
  </si>
  <si>
    <t>antwoord</t>
  </si>
  <si>
    <t>punten</t>
  </si>
  <si>
    <t>letter</t>
  </si>
  <si>
    <t>Bent U van plan tussentijds vermogen aan uw beleggingsportefeuille te onttrekken of juist vervolgstortingen te doen?</t>
  </si>
  <si>
    <t>Welke gevolgen heeft het niet halen van uw beleggingsdoelstellingen?</t>
  </si>
  <si>
    <t>Welk deel van uw vrij beschikbare vermogen (exclusief de eigen woning) is of wordt belegd op de rekening die wordt beheerd door B.A. van Doorn Comp?</t>
  </si>
  <si>
    <t>Welke kansverdeling spreekt u het meest aan voor het door U te beleggen vermogen?</t>
  </si>
  <si>
    <t>Hoe vaak controleert u de waarde van uw portefeuille?</t>
  </si>
  <si>
    <t>Waaruit bestaat uw huidige beleggingsportefeuille?</t>
  </si>
  <si>
    <t>Heeft u ervaring met beleggen?</t>
  </si>
  <si>
    <t>Wat is uw rendementsdoelstelling?</t>
  </si>
  <si>
    <t>antwoord_aanhef</t>
  </si>
  <si>
    <t>beleggingsdoelstelling</t>
  </si>
  <si>
    <t>gevolgen</t>
  </si>
  <si>
    <t>deel</t>
  </si>
  <si>
    <t>inkomen</t>
  </si>
  <si>
    <t>kansverdeling</t>
  </si>
  <si>
    <t>hoe_vaak</t>
  </si>
  <si>
    <t>waardedaling</t>
  </si>
  <si>
    <t>huidige</t>
  </si>
  <si>
    <t>horizon</t>
  </si>
  <si>
    <t>ervaring</t>
  </si>
  <si>
    <t>rendementsdoelstelling</t>
  </si>
  <si>
    <t>onderwerp</t>
  </si>
  <si>
    <t>Mijn beleggingsdoelstelling is:</t>
  </si>
  <si>
    <t>bijstortingen</t>
  </si>
  <si>
    <t xml:space="preserve">Het niet halen van doelstellingen: </t>
  </si>
  <si>
    <t>Ik controleer de waarde van mijn beleggingen:</t>
  </si>
  <si>
    <t>Mijn beleggingshorizon is:</t>
  </si>
  <si>
    <t>Mijn rendementsdoelstelling is:</t>
  </si>
  <si>
    <t>Ervaring met beleggen:</t>
  </si>
  <si>
    <t>Een jaarlijkse aanvulling op het huidige inkomen</t>
  </si>
  <si>
    <t>De financiering van een toekomstige uitgave, bv de studie van kinderen, of eerder stoppen met werken</t>
  </si>
  <si>
    <t>Per saldo geen bijstortingen of onttrekkingen te doen</t>
  </si>
  <si>
    <t>Heeft noch financiële, noch emotionele gevolgen</t>
  </si>
  <si>
    <t>Zou grote financiële en emotionele consequenties hebben</t>
  </si>
  <si>
    <t>Zou teleurstellend zijn, maar nauwelijks invloed hebben op mijn levenspeil</t>
  </si>
  <si>
    <t>Zou leiden tot aanpassing van mijn levensstandaard</t>
  </si>
  <si>
    <t>Het deel van mijn vermogen dat wordt beheerd door B.A. van Doorn Comp is:</t>
  </si>
  <si>
    <t>Mijn huidige inkomen is:</t>
  </si>
  <si>
    <t>De volgende kansverdeling spreekt mij aan:</t>
  </si>
  <si>
    <t>Ik maak me zorgen:</t>
  </si>
  <si>
    <t>Bij elke waardedaling, de waarde mag absoluut niet dalen</t>
  </si>
  <si>
    <t>Dit hangt af van het negatieve rendement van de markt (index)</t>
  </si>
  <si>
    <t>Bij welke tussentijdse waardedaling van uw portefeuille maakt u zich zorgen?</t>
  </si>
  <si>
    <t>Bij een waardedaling groter dan 10%</t>
  </si>
  <si>
    <t>Bij een waardedaling groter dan 25%</t>
  </si>
  <si>
    <t>Mijn huidige beleggingen zijn:</t>
  </si>
  <si>
    <t>Alleen of bijna alleen obligaties en spaargeld</t>
  </si>
  <si>
    <t>Alleen of nagenoeg alleen cash en spaargeld</t>
  </si>
  <si>
    <t>Alleen of bijna alleen aandelen en/of derivaten</t>
  </si>
  <si>
    <t>RM100</t>
  </si>
  <si>
    <t>RD100</t>
  </si>
  <si>
    <t>profiel</t>
  </si>
  <si>
    <t>Wat is uw beleggingshorizon? (Hoelang denkt u uw beleggingen aan te houden?)</t>
  </si>
  <si>
    <t>Ongeveer 3 jaar</t>
  </si>
  <si>
    <t>Ongeveer 5 jaar</t>
  </si>
  <si>
    <t>Ongeveer 10 jaar</t>
  </si>
  <si>
    <t>Ongeveer 1 jaar</t>
  </si>
  <si>
    <t>Misschien wel 30 jaar</t>
  </si>
  <si>
    <t>selected</t>
  </si>
  <si>
    <t>RD50RM50</t>
  </si>
  <si>
    <t>Voldoende om uw vaste lasten en kosten van levensonderhoud te betalen.</t>
  </si>
  <si>
    <t>Onvoldoende om uw vaste lasten en kosten van levensonderhoud te betalen.</t>
  </si>
  <si>
    <t>categorie</t>
  </si>
  <si>
    <t>gevolgen_materieel</t>
  </si>
  <si>
    <t>gevolgen_emotioneel</t>
  </si>
  <si>
    <t>duurzaamheid</t>
  </si>
  <si>
    <t>duurzaamheid_nu</t>
  </si>
  <si>
    <t>duurzaamheid_bavd</t>
  </si>
  <si>
    <t>ervaring_beleggen</t>
  </si>
  <si>
    <t>ervaring_beleggingsdienstverlening</t>
  </si>
  <si>
    <t>risicobereidheid</t>
  </si>
  <si>
    <t>RD30RM70</t>
  </si>
  <si>
    <t>RD70RM30</t>
  </si>
  <si>
    <t>Ik wacht de kwartaalrapportage af</t>
  </si>
  <si>
    <t>Ik wil mijn vermogen beleggen</t>
  </si>
  <si>
    <t>om het te laten groeien op de langere termijn</t>
  </si>
  <si>
    <t>kan ik maar een beperkte waardedaling van mijn beleggingen hebben</t>
  </si>
  <si>
    <t>heb ik geen ervaring</t>
  </si>
  <si>
    <t>is meer dan de helft</t>
  </si>
  <si>
    <t>De waarde van mijn beleggingen zal fluctueren.</t>
  </si>
  <si>
    <t>is ongeveer de helft</t>
  </si>
  <si>
    <t>om op de lange termijn kans te hebben op het hoogste resultaat</t>
  </si>
  <si>
    <t>om het zonder veel neerwaarts risico te beleggen, met kans op enige groei.</t>
  </si>
  <si>
    <t>kan ik een waardedaling van mijn beleggingen aan van ongeveer 25%</t>
  </si>
  <si>
    <t>kan ik een waardedaling van mijn beleggingen aan van wel zo'n 40%</t>
  </si>
  <si>
    <t>Met beleggingsdienstverlening</t>
  </si>
  <si>
    <t>In de samenstelling van mijn huidige beleggingsportefeuille</t>
  </si>
  <si>
    <t>speelt duurzaamheid geen rol want ik beleg nog niet</t>
  </si>
  <si>
    <t>spelen duurzaamheidsaspecten geen bijzondere rol</t>
  </si>
  <si>
    <t>spelen duurzaamheidsaspecten een bijzondere rol</t>
  </si>
  <si>
    <t>Bij de samenstelling van mijn portefeuille bij B.A. van Doorn</t>
  </si>
  <si>
    <t>huidige_samenstelling</t>
  </si>
  <si>
    <t>beleggingshorizon</t>
  </si>
  <si>
    <t>doel_niet_halen</t>
  </si>
  <si>
    <t>Als ik mijn beleggingsdoelstelling niet haal</t>
  </si>
  <si>
    <t>kennis_beleggen</t>
  </si>
  <si>
    <t>Mijn ervaring met beleggen</t>
  </si>
  <si>
    <t>is aanwezig, ik weet wat aandelen en obligaties zijn</t>
  </si>
  <si>
    <t>grafieken</t>
  </si>
  <si>
    <t>Dat heeft geen enkele invloed want ik heb voldoende reserves</t>
  </si>
  <si>
    <t>kennis_ervaring</t>
  </si>
  <si>
    <t>Mijn kennis van beleggingsinstrumenten</t>
  </si>
  <si>
    <t>Mijn kennis van beleggen</t>
  </si>
  <si>
    <t>is onvoldoende om van te leven en ik moet periodiek onttrekkingen doen</t>
  </si>
  <si>
    <t>Mijn huidige vrij belegbare vermogen (dus naast de eigen woning)</t>
  </si>
  <si>
    <t>kennis_instrumenten</t>
  </si>
  <si>
    <t>financiele_situatie</t>
  </si>
  <si>
    <t>Mijn inkomen (zoals uit loon, pensioen, of onderneming)</t>
  </si>
  <si>
    <t>overstijgt ruimschoots de behoefte aan reguliere uitgaven in de toekomst</t>
  </si>
  <si>
    <t>is genoeg om van te leven, waardoor ik slechts incidenteel onttrekkingen hoef te doen</t>
  </si>
  <si>
    <t>is een kwart of minder</t>
  </si>
  <si>
    <t>ik beleg voor een jaar of vijf</t>
  </si>
  <si>
    <t>Ik kan mijn beleggingen wel tien jaar aanhouden en heb er geen tussentijdse plannen mee</t>
  </si>
  <si>
    <t>heb ik ervaring, vooral met vermogensbeheer</t>
  </si>
  <si>
    <t>How do you typically react when you see a sudden drop in the value of your investments?</t>
  </si>
  <si>
    <t>What is the maximum percentage loss you are willing to accept on your investments before you become uncomfortable?</t>
  </si>
  <si>
    <t>How do you feel about investing a significant portion of your portfolio in high-risk, high-reward assets such as cryptocurrencies or startup companies?</t>
  </si>
  <si>
    <t>Do you prefer to invest in safe and stable assets such as bonds, or do you prefer to take on more risk for the potential of higher returns?</t>
  </si>
  <si>
    <t>How would you feel if you lost 20% of your investment portfolio in a single year?</t>
  </si>
  <si>
    <t>How important is it to you to have a diversified portfolio, and how much of your portfolio do you typically allocate to safer assets such as cash or bonds?</t>
  </si>
  <si>
    <t>How comfortable are you with investing in emerging markets, where political instability or economic factors could potentially cause significant fluctuations in the value of your investments?</t>
  </si>
  <si>
    <t>If you were presented with two investment options - one with a guaranteed return of 5% and another with a potential return of 10% but with a higher level of risk - which one would you choose and why?</t>
  </si>
  <si>
    <t>Have you ever experienced a significant loss on an investment, and if so, how did you react and what did you learn from the experience?</t>
  </si>
  <si>
    <t>How do you typically decide on the appropriate level of risk for your investments, and what factors do you consider in making that decision?</t>
  </si>
  <si>
    <t>Q</t>
  </si>
  <si>
    <t>generate questions that test someone's investment risk aversion</t>
  </si>
  <si>
    <t>chat gpt</t>
  </si>
  <si>
    <t>generate multiple choice (3 choices) questions that test someones investment risk aversion</t>
  </si>
  <si>
    <t>Which of the following best describes your attitude towards risk when it comes to investing?</t>
  </si>
  <si>
    <t>If you saw a sudden drop in the value of your investments, what would you do?</t>
  </si>
  <si>
    <t>Which type of investment would you be most comfortable with?</t>
  </si>
  <si>
    <t>If you had to choose between two investment options with the same expected return, which would you choose?</t>
  </si>
  <si>
    <t>Which of the following best describes your investment strategy?</t>
  </si>
  <si>
    <t>C) I prioritize the preservation of my capital over the potential for high returns.</t>
  </si>
  <si>
    <t>A) I am willing to take on a significant amount of risk for the potential of higher returns.</t>
  </si>
  <si>
    <t>B) I prefer to strike a balance between risk and reward.</t>
  </si>
  <si>
    <t>A) Sell all of my investments immediately to avoid further losses.</t>
  </si>
  <si>
    <t>C) Buy more of the same investment in hopes that it will eventually bounce back.</t>
  </si>
  <si>
    <t>B) Wait and see if the market recovers before making any decisions.</t>
  </si>
  <si>
    <t>A) A high-risk, high-reward investment such as a speculative stock or cryptocurrency.</t>
  </si>
  <si>
    <t>C) A low-risk investment such as a savings account or certificate of deposit.</t>
  </si>
  <si>
    <t>B) A moderately risky investment such as a diversified mutual fund or exchange-traded fund.</t>
  </si>
  <si>
    <t>A) A more volatile option with the potential for higher returns.</t>
  </si>
  <si>
    <t>B) A stable option with lower returns and less risk.</t>
  </si>
  <si>
    <t>C) I am unsure, it would depend on the specific details of each investment.</t>
  </si>
  <si>
    <t>A) I actively seek out high-risk, high-reward investments in order to maximize returns.</t>
  </si>
  <si>
    <t>C) I focus on low-risk investments in order to preserve my capital and minimize losses.</t>
  </si>
  <si>
    <t>B) I prioritize diversification and invest in a mix of high-risk and low-risk assets.</t>
  </si>
  <si>
    <t>maximaal_verlies</t>
  </si>
  <si>
    <t>is minder dan 5%</t>
  </si>
  <si>
    <t>is minder dan 40%</t>
  </si>
  <si>
    <t>is minder dan 20%</t>
  </si>
  <si>
    <t>daar kan ik, emotioneel gezien, niet goed tegen</t>
  </si>
  <si>
    <t>duurzaamheid_percentage</t>
  </si>
  <si>
    <t>duurzaamheid_taxonomie</t>
  </si>
  <si>
    <t>heb ik geen duurzaamheidsvoorkeuren</t>
  </si>
  <si>
    <t>is niet voldoende om mijn bestedingspatroon te kunnen handhaven</t>
  </si>
  <si>
    <t>is voldoende om mijn bestedingspatroon te handhaven</t>
  </si>
  <si>
    <t>is slechts beperkt vrij te beleggen en bestaat uit vastgoed (waaronder de eigen woning) en/of minder makkelijk verhandelbare vermogensbestanddelen</t>
  </si>
  <si>
    <t xml:space="preserve">is vrij te beleggen </t>
  </si>
  <si>
    <t>is grotendeels vrij te beleggen en bestaat deels uit vastgoed (waaronder de eigen woning) en/of minder makkelijk verhandelbare vermogensbestanddelen</t>
  </si>
  <si>
    <t>heb ik ervaring, vooral met beleggingsadvies en/of execution only</t>
  </si>
  <si>
    <t>Ik heb geen ervaring met beleggen</t>
  </si>
  <si>
    <t>is beperkt</t>
  </si>
  <si>
    <t>is ruim aanwezig</t>
  </si>
  <si>
    <t>Ik check het geregeld en zit er bovenop</t>
  </si>
  <si>
    <t>Ik kijk een keer per jaar en minder dan een keer per kwartaal</t>
  </si>
  <si>
    <t>Dit heeft nauwelijk consquenties voor mijn levensstandaard</t>
  </si>
  <si>
    <t>Louter financieel gezien, zonder mijn bestedingspatroon te hoeven bijstellen,</t>
  </si>
  <si>
    <t>is vooral belegd in aandelen en andere risicodragende beleggingen</t>
  </si>
  <si>
    <t>is uitgebreid en ik volg het financiële nieuws op de voet</t>
  </si>
  <si>
    <t>is beperkt, ik weet er weinig van</t>
  </si>
  <si>
    <t>is gemiddeld en ik volg af en toe het financiële nieuws</t>
  </si>
  <si>
    <t>is aanwezig, ik weet wat aandelen, obligaties en alternatieve beleggingen zijn</t>
  </si>
  <si>
    <t>visueel</t>
  </si>
  <si>
    <t>visuele_keuze1</t>
  </si>
  <si>
    <t>visuele_keuze2</t>
  </si>
  <si>
    <t>Welke figuur spreekt u in eerste instantie het meest aan?</t>
  </si>
  <si>
    <t>De linker illustratie</t>
  </si>
  <si>
    <t>De rechter illustratie</t>
  </si>
  <si>
    <t>Spreekt een van beide alternatieven u meer aan dan uw keuze op de vorige pagina?</t>
  </si>
  <si>
    <t>Nee, ik blijf bij mijn vorige keuze (de illustratie in het midden)</t>
  </si>
  <si>
    <t>De illustratie links spreekt mij meer aan</t>
  </si>
  <si>
    <t>De illustratie rechts spreekt mij meer aan</t>
  </si>
  <si>
    <t>Wilt u een toelichting geven op uw beleggingsdoelstelling?</t>
  </si>
  <si>
    <t>nee, dat is in het antwoord op de vorige vraag voldoende verwoord</t>
  </si>
  <si>
    <t>ja graag - hieronder opent een tekstvakje waarin u een toelichting kunt schrijven</t>
  </si>
  <si>
    <t>beleggingsdoelstelling_toelichting</t>
  </si>
  <si>
    <t>profiel_oud</t>
  </si>
  <si>
    <t>profiel_nieuw</t>
  </si>
  <si>
    <t>gelijk</t>
  </si>
  <si>
    <t>conservatiever</t>
  </si>
  <si>
    <t>minder conservatief</t>
  </si>
  <si>
    <t>nieuw profiel is</t>
  </si>
  <si>
    <t>Dan moet ik mijn levensstandaard daaraan aanpassen</t>
  </si>
  <si>
    <t>deze tabel wordt niet meer gebruikt</t>
  </si>
  <si>
    <t>Wij willen ons vermogen beleggen</t>
  </si>
  <si>
    <t>Ons inkomen (zoals uit loon, pensioen, of onderneming)</t>
  </si>
  <si>
    <t>Louter financieel gezien, zonder ons bestedingspatroon te hoeven bijstellen,</t>
  </si>
  <si>
    <t>Ons huidige vrij belegbare vermogen (dus naast de eigen woning)</t>
  </si>
  <si>
    <t>Onze kennis van beleggen</t>
  </si>
  <si>
    <t>Onze kennis van beleggingsinstrumenten</t>
  </si>
  <si>
    <t>Onze ervaring met beleggen</t>
  </si>
  <si>
    <t>De waarde van onze beleggingen zal fluctueren.</t>
  </si>
  <si>
    <t>Als wij onze beleggingsdoelstelling niet halen</t>
  </si>
  <si>
    <t>In de samenstelling van onze huidige beleggingsportefeuille</t>
  </si>
  <si>
    <t>is niet voldoende om ons bestedingspatroon te kunnen handhaven</t>
  </si>
  <si>
    <t>is voldoende om ons bestedingspatroon te handhaven</t>
  </si>
  <si>
    <t>is onvoldoende om van te leven en wij moeten periodiek onttrekkingen doen</t>
  </si>
  <si>
    <t>is genoeg om van te leven, waardoor wij slechts incidenteel onttrekkingen hoeven te doen</t>
  </si>
  <si>
    <t>kunnen wij maar een beperkte waardedaling van ons beleggingen hebben</t>
  </si>
  <si>
    <t>kunnen wij een waardedaling van ons beleggingen aan van ongeveer 25%</t>
  </si>
  <si>
    <t>kunnen wij een waardedaling van ons beleggingen aan van wel zo'n 40%</t>
  </si>
  <si>
    <t>is beperkt, wij weten er weinig van</t>
  </si>
  <si>
    <t>is gemiddeld en wij volgen af en toe het financiële nieuws</t>
  </si>
  <si>
    <t>is aanwezig, wij weten wat aandelen en obligaties zijn</t>
  </si>
  <si>
    <t>is aanwezig, wij weten wat aandelen, obligaties en alternatieve beleggingen zijn</t>
  </si>
  <si>
    <t>hebben wij geen ervaring</t>
  </si>
  <si>
    <t>hebben wij ervaring, vooral met beleggingsadvies en/of execution only</t>
  </si>
  <si>
    <t>hebben wij ervaring, vooral met vermogensbeheer</t>
  </si>
  <si>
    <t>Wij hebben geen ervaring met beleggen</t>
  </si>
  <si>
    <t>daar kunnen wij, emotioneel gezien, niet goed tegen</t>
  </si>
  <si>
    <t>Wij checken het geregeld en zitten er bovenop</t>
  </si>
  <si>
    <t>Wij wachten de kwartaalrapportage af</t>
  </si>
  <si>
    <t>Wij kijken een keer per jaar en minder dan een keer per kwartaal</t>
  </si>
  <si>
    <t>Wij beleggen voor een jaar of vijf</t>
  </si>
  <si>
    <t>Wij kunnen onze beleggingen wel tien jaar aanhouden en hebben er geen tussentijdse plannen mee</t>
  </si>
  <si>
    <t>speelt duurzaamheid geen rol want wij beleggen nog niet</t>
  </si>
  <si>
    <t>hebben wij geen duurzaamheidsvoorkeuren</t>
  </si>
  <si>
    <t>wil ik dat dit meer is dan de helft</t>
  </si>
  <si>
    <t>zijn  geen vereiste voor de invulling van onze portefeuille</t>
  </si>
  <si>
    <t>moet rekening gehouden worden met de belangrijkste nadelige effecten op duurzaamheidsfactoren zoals hierboven genoemd</t>
  </si>
  <si>
    <t>is meer dan voldoende en wij kunnen ons vermogen laten groeien, behoudens evt. onttrekkingen voor box3-belasting</t>
  </si>
  <si>
    <t>is meer dan voldoende en ik kan mijn vermogen laten groeien, behoudens evt. onttrekkingen voor box3-belasting</t>
  </si>
  <si>
    <t>Dat zou teleurstellend zijn</t>
  </si>
  <si>
    <t>Dat kan gebeuren, want beleggen gaat nu eenmaal gepaard met risico's</t>
  </si>
  <si>
    <t>Dat zou buitengewoon teleurstellend zijn</t>
  </si>
  <si>
    <t>Het verlies dat acceptabel is binnen de termijn van de beleggingshorizon</t>
  </si>
  <si>
    <t>speelt duurzaamheid geen rol want er zijn nog geen beleggingen</t>
  </si>
  <si>
    <t>bestaan geen duurzaamheidsvoorkeuren</t>
  </si>
  <si>
    <t>moet dit meer zijn dan een kwart</t>
  </si>
  <si>
    <t>moet dit meer zijn dan de helft</t>
  </si>
  <si>
    <t>zijn  geen vereiste voor de invulling van de portefeuille</t>
  </si>
  <si>
    <t>is niet voldoende om de verwachte minimale kasstroom te kunnen handhaven</t>
  </si>
  <si>
    <t>is voldoende om de verwachte minimale kasstroom  te handhaven</t>
  </si>
  <si>
    <t>overstijgt ruimschoots de verwachte minimale kasstroom in de toekomst</t>
  </si>
  <si>
    <t>is grotendeels vrij te beleggen en bestaat deels uit vastgoed en/of minder makkelijk verhandelbare vermogensbestanddelen</t>
  </si>
  <si>
    <t>willen wij dat dit meer is dan een kwart</t>
  </si>
  <si>
    <t>wil ik dat dit meer is dan een kwart</t>
  </si>
  <si>
    <t>Het vermogen in de besloten vennootschap wordt belegd</t>
  </si>
  <si>
    <t>is slechts beperkt vrij te beleggen en bestaat uit verstrekte leningen, vastgoed en/of andere minder makkelijk verhandelbare vermogensbestanddelen</t>
  </si>
  <si>
    <t>Het huidige vrij belegbare vermogen van de besloten vennootschap</t>
  </si>
  <si>
    <t>Mijn inkomen in privé (zoals uit loon, pensioen, of onderneming)</t>
  </si>
  <si>
    <t>is onvoldoende om van te leven en ik moet periodiek onttrekkingen doen uit de besloten vennootschap</t>
  </si>
  <si>
    <t>is genoeg om van te leven, waardoor ik slechts incidenteel onttrekkingen hoef te doen uit de besloten vennootschap</t>
  </si>
  <si>
    <t>is meer dan voldoende en het vermogen in de besloten vennootschap kan blijven groeien, behoudens evt. onttrekkingen voor het betalen van belasting</t>
  </si>
  <si>
    <t>kan ik maar een beperkte waardedaling hebben van de beleggingen in de besloten vennootschap</t>
  </si>
  <si>
    <t>kan ik een waardedaling van ongeveer 25% aan van mijn beleggingen in de besloten vennootschap</t>
  </si>
  <si>
    <t xml:space="preserve">kan ik een waardedaling van wel zo'n 40% aan van mijn beleggingen in de besloten vennootschap </t>
  </si>
  <si>
    <t>Wilt u een toelichting geven op de beleggingsdoelstelling van de besloten vennootschap?</t>
  </si>
  <si>
    <t>De waarde van de beleggingen in de besloten vennootschap zal fluctueren.</t>
  </si>
  <si>
    <t>de belegging in de besloten vennootschap wordt gedaan voor een jaar of vijf</t>
  </si>
  <si>
    <t>Als de beleggingsdoelstelling van de besloten vennootschap niet gehaald wordt</t>
  </si>
  <si>
    <t>In de samenstelling van de huidige beleggingsportefeuille van de besloten vennootschap</t>
  </si>
  <si>
    <t>Bij de samenstelling van de portefeuille bij B.A. van Doorn</t>
  </si>
  <si>
    <t>moeten meer dan 10% uitmaken van de portfeuille</t>
  </si>
  <si>
    <t>Het huidige vrij belegbare vermogen van de vereniging</t>
  </si>
  <si>
    <t>Als de beleggingsdoelstelling van de vereniging niet gehaald wordt</t>
  </si>
  <si>
    <t>In de samenstelling van de huidige beleggingsportefeuille van de vereniging</t>
  </si>
  <si>
    <t>Het vermogen van de vereniging wordt belegd</t>
  </si>
  <si>
    <t>De waarde van de beleggingen van de vereniging zal fluctueren.</t>
  </si>
  <si>
    <t>de beleggingen van de vereniging kunnen wel wel tien jaar aangehouden worden en er zijn geen tussentijdse plannen mee</t>
  </si>
  <si>
    <t>is voldoende om de kosten te dragen, waardoor slechts incidenteel onttrekkingen uit de portefeuille noodzakelijk zijn</t>
  </si>
  <si>
    <t>Het inkomen van de vereniging (zoals uit contributies, schenkingen of subsidies)</t>
  </si>
  <si>
    <t>Louter financieel gezien, zonder aanpassingen te hoeven doen aan het jaarlijks te besteden budget</t>
  </si>
  <si>
    <t>kan de vereniging maar een beperkte waardedaling hebben van de beleggingen</t>
  </si>
  <si>
    <t>kan de vereniging een waardedaling van de beleggingen aan van ongeveer 25%</t>
  </si>
  <si>
    <t>kan de vereniging een waardedaling van de beleggingen aan van wel zo'n 40%</t>
  </si>
  <si>
    <t>dat leidt naar verwachting meteen tot discussies over het beleggingsbeleid</t>
  </si>
  <si>
    <t>is onvoldoende om de kosten van de vereniging te dragen en jaarlijkse onttrekkingen uit de beleggingen zijn noodzakelijk</t>
  </si>
  <si>
    <t>de beleggingen van de vereniging worden gedaan voor een jaar of vijf</t>
  </si>
  <si>
    <t>Het vermogen van de stichting wordt belegd</t>
  </si>
  <si>
    <t>Het inkomen van de stichting (zoals uit contributies, schenkingen of subsidies)</t>
  </si>
  <si>
    <t>is onvoldoende om de kosten van de stichting te dragen en jaarlijkse onttrekkingen uit de beleggingen zijn noodzakelijk</t>
  </si>
  <si>
    <t>kan de stichting maar een beperkte waardedaling hebben van de beleggingen</t>
  </si>
  <si>
    <t>kan de stichting een waardedaling van de beleggingen aan van ongeveer 25%</t>
  </si>
  <si>
    <t>kan de stichting een waardedaling van de beleggingen aan van wel zo'n 40%</t>
  </si>
  <si>
    <t>Het huidige vrij belegbare vermogen van de stichting</t>
  </si>
  <si>
    <t>De waarde van de beleggingen van de stichting zal fluctueren.</t>
  </si>
  <si>
    <t>de beleggingen van de stichting worden gedaan voor een jaar of vijf</t>
  </si>
  <si>
    <t>Als de beleggingsdoelstelling van de stichting niet gehaald wordt</t>
  </si>
  <si>
    <t>In de samenstelling van de huidige beleggingsportefeuille van de stichting</t>
  </si>
  <si>
    <t>ben ik bereid, op enig moment, ongeveer 25% waardedaling te accepteren</t>
  </si>
  <si>
    <t>ben ik bereid, op enig moment, ongeveer 40% waardedaling te accepteren</t>
  </si>
  <si>
    <t>zijn wij bereid, op enig moment, ongeveer 25% waardedaling te accepteren</t>
  </si>
  <si>
    <t>zijn wij bereid, op enig moment, ongeveer 40% waardedaling te accepteren</t>
  </si>
  <si>
    <t>is de vereniging bereid, op enig moment, ongeveer 25% waardedaling te accepteren</t>
  </si>
  <si>
    <t>is de vereniging bereid, op enig moment, ongeveer 40% waardedaling te accepteren</t>
  </si>
  <si>
    <t>is de stichting bereid, op enig moment, ongeveer 25% waardedaling te accepteren</t>
  </si>
  <si>
    <t>is de stichting bereid, op enig moment, ongeveer 40% waardedaling te accepteren</t>
  </si>
  <si>
    <t>om hiermee binnen afzienbare tijd een uitgave te doen</t>
  </si>
  <si>
    <t>om het zonder veel neerwaarts risico te beleggen, met kans op enige groei</t>
  </si>
  <si>
    <t>uit de bv geschrapt</t>
  </si>
  <si>
    <t>Het vermogen in de besloten vennootschap</t>
  </si>
  <si>
    <t>is noodzakelijk om van te leven en ik moet periodiek onttrekkingen doen uit de besloten vennootschap</t>
  </si>
  <si>
    <t>is soms noodzakelijk, waardoor ik incidenteel onttrekkingen moet doen uit de besloten vennootschap</t>
  </si>
  <si>
    <t>is niet noodzakelijk en het vermogen in de besloten vennootschap kan blijven groeien, behoudens evt. onttrekkingen voor het betalen van belasting</t>
  </si>
  <si>
    <t>Louter financieel gezien, dus zonder verdere nadelige consequenties</t>
  </si>
  <si>
    <t>Aanvullend inkomen uit de besloten vennootschap voor privédoeleinden</t>
  </si>
  <si>
    <t>is belegd in een portefeuille aandelen en obligaties</t>
  </si>
  <si>
    <t>bestaat overwegend uit spaargeld en/of obligaties</t>
  </si>
  <si>
    <t>Wilt u een toelichting geven op de beleggingsdoelstelling van de vereniging (bijvoorbeeld aan de hand van een beleggingsstatuut)?</t>
  </si>
  <si>
    <t>Wilt u een toelichting geven op de beleggingsdoelstelling van de stichting (bijvoorbeeld aan de hand van een beleggingsstatuut)?</t>
  </si>
  <si>
    <t>Als het gaat om slechte beleggingsresultaten</t>
  </si>
  <si>
    <t>Als het gaat om slechte beleggingsresultaten in de besloten vennootschap</t>
  </si>
  <si>
    <t>Als het gaat om slechte beleggingsresultaten van de vereniging</t>
  </si>
  <si>
    <t>Als het gaat om slechte beleggingsresultaten van de stichting</t>
  </si>
  <si>
    <t>uit alle entiteiten op 16juni 22</t>
  </si>
  <si>
    <t>is meer dan voldoende en het vermogen van de stichting kan blijven groeien, behoudens evt. onttrekkingen voor incidentele uitgaven</t>
  </si>
  <si>
    <t>is meer dan voldoende en het vermogen van de vereniging kan blijven groeien, behoudens evt. onttrekkingen voor incidentele uitgaven</t>
  </si>
  <si>
    <t>eigen_vermogen_omvang</t>
  </si>
  <si>
    <t>eigen_vermogen_liquiditeit</t>
  </si>
  <si>
    <t>Eigen vermogen is de waarde van de bezittingen inclusief verstrekte leningen, minus de schulden, zoals een opgenomen lening. Het vrije vermogen in de besloten vennootschap</t>
  </si>
  <si>
    <t>Eigen vermogen is de waarde van uw bezittingen minus de schulden, zoals een hypotheek. Mijn eigen vermogen</t>
  </si>
  <si>
    <t>Het eigen vermogen kan vrij belegbaar zijn en/of belegd zijn in vastgoed of andere minder makkelijk verhandelbare vermogensbestanddelen. Mijn eigen vermogen</t>
  </si>
  <si>
    <t>Het eigen vermogen kan vrij belegbaar zijn en/of belegd zijn in vastgoed of andere minder makkelijk verhandelbare vermogensbestanddelen. Het vrije vermogen van de vereniging</t>
  </si>
  <si>
    <t>Het eigen vermogen kan vrij belegbaar zijn en/of belegd zijn in vastgoed of andere minder makkelijk verhandelbare vermogensbestanddelen. Het vrije vermogen van de stichting</t>
  </si>
  <si>
    <t>Het eigen vermogen kan vrij belegbaar zijn en/of belegd zijn in vastgoed of andere minder makkelijk verhandelbare vermogensbestanddelen. Ons eigen vermogen</t>
  </si>
  <si>
    <t>Eigen vermogen is de waarde van de bezittingen minus de schulden, zoals een lening. Het eigen vermogen van de vereniging</t>
  </si>
  <si>
    <t>Eigen vermogen is de waarde van de bezittingen minus de schulden, zoals een lening. Het eigen vermogen van de stichting</t>
  </si>
  <si>
    <t>Eigen vermogen is de waarde van uw bezittingen minus de schulden, zoals een hypotheek. Ons eigen vermogen</t>
  </si>
  <si>
    <t>Het deel van ons vrij belegbare vermogen dat wij bij B.A. van Doorn onderbrengen</t>
  </si>
  <si>
    <t>Het deel van het vrij belegbare vermogen van de besloten vennootschap dat bij B.A. van Doorn in beheer komt</t>
  </si>
  <si>
    <t>Het deel van het vrij belegbare vermogen van de vereniging dat bij B.A. van Doorn in beheer komt</t>
  </si>
  <si>
    <t>Het deel van het vrij belegbare vermogen van de stichting dat bij B.A. van Doorn in beheer komt</t>
  </si>
  <si>
    <t>Het deel van het vrij belegbare vermogen dat ik bij B.A. van Doorn onderbreng</t>
  </si>
  <si>
    <t>Wat betreft mijn beleggingshorizon is het volgende van toepassing:</t>
  </si>
  <si>
    <t>Wat betreft het gedeelte duurzame beleggingen in onze portefeuille</t>
  </si>
  <si>
    <t>Zogenaamde Europese Taxonomie-beleggingen</t>
  </si>
  <si>
    <t>Wat betreft de beleggingshorizon is het volgende van toepassing:</t>
  </si>
  <si>
    <t>Wat betreft het gedeelte duurzame beleggingen in de portefeuille van de stichting</t>
  </si>
  <si>
    <t>Wat betreft het gedeelte duurzame beleggingen in de portefeuille van de vereniging</t>
  </si>
  <si>
    <t>Wat betreft het gedeelte duurzame beleggingen in de portefeuille van de besloten vennootschap</t>
  </si>
  <si>
    <t>Wat betreft onze beleggingshorizon is het volgende van toepassing:</t>
  </si>
  <si>
    <t>de beleggingen in de besloten vennootschap kunnen wel tien jaar aangehouden worden en er zijn geen tussentijdse plannen mee</t>
  </si>
  <si>
    <t>de beleggingen van de stichting kunnen wel  tien jaar aangehouden worden en er zijn geen tussentijdse plannen mee</t>
  </si>
  <si>
    <t>overig</t>
  </si>
  <si>
    <t>Wilt u een toelichting geven op overige zaken die niet aan de orde zijn gekomen?</t>
  </si>
  <si>
    <t>nee, dat is niet nodig</t>
  </si>
  <si>
    <t>Ik beleg voor een periode langer dan tien jaar</t>
  </si>
  <si>
    <t>Wij beleggen voor een periode langer dan tien jaar</t>
  </si>
  <si>
    <t>de beleggingen in de besloten vennootschap worden gedaan voor een periode langer dan tien jaar</t>
  </si>
  <si>
    <t>de beleggingen van de vereniging worden gedaan voor een periode langer dan tien jaar</t>
  </si>
  <si>
    <t>de beleggingen van de stichting worden gedaan voor een periode langer dan tien jaar</t>
  </si>
  <si>
    <t>zodat ik hiermee binnen afzienbare tijd een uitgave kan betalen - zie ook de invulvelden hieronder</t>
  </si>
  <si>
    <t>zodat wij hiermee binnen afzienbare tijd een uitgave kunnen betalen - zie ook de invulvelden hieronder</t>
  </si>
  <si>
    <t>om hiermee binnen afzienbare tijd een uitgave te betalen - zie ook de invulvelden hieronder</t>
  </si>
  <si>
    <t>om het grotendeels in stand te houden</t>
  </si>
  <si>
    <t>Het vermogen van de organisatie wordt belegd</t>
  </si>
  <si>
    <t>Wilt u een toelichting geven op de beleggingsdoelstelling van de organisatie (bijvoorbeeld aan de hand van een beleggingsstatuut)?</t>
  </si>
  <si>
    <t>Eigen vermogen is de waarde van de bezittingen minus de schulden, zoals een lening. Het eigen vermogen van de organisatie</t>
  </si>
  <si>
    <t>Het eigen vermogen kan vrij belegbaar zijn en/of belegd zijn in vastgoed of andere minder makkelijk verhandelbare vermogensbestanddelen. Het vrije vermogen van de organisatie</t>
  </si>
  <si>
    <t>Het deel van het vrij belegbare vermogen van de organisatie dat bij B.A. van Doorn in beheer komt</t>
  </si>
  <si>
    <t>Het inkomen van de organisatie (zoals uit contributies, schenkingen of subsidies)</t>
  </si>
  <si>
    <t>is onvoldoende om de kosten van de organisatie te dragen en jaarlijkse onttrekkingen uit de beleggingen zijn noodzakelijk</t>
  </si>
  <si>
    <t>is meer dan voldoende en het vermogen van de organisatie kan blijven groeien, behoudens evt. onttrekkingen voor incidentele uitgaven</t>
  </si>
  <si>
    <t>kan de organisatie maar een beperkte waardedaling hebben van de beleggingen</t>
  </si>
  <si>
    <t>kan de organisatie een waardedaling van de beleggingen aan van ongeveer 25%</t>
  </si>
  <si>
    <t>kan de organisatie een waardedaling van de beleggingen aan van wel zo'n 40%</t>
  </si>
  <si>
    <t>Het huidige vrij belegbare vermogen van de organisatie</t>
  </si>
  <si>
    <t>Als het gaat om slechte beleggingsresultaten van de organisatie</t>
  </si>
  <si>
    <t>is de organisatie bereid, op enig moment, ongeveer 25% waardedaling te accepteren</t>
  </si>
  <si>
    <t>is de organisatie bereid, op enig moment, ongeveer 40% waardedaling te accepteren</t>
  </si>
  <si>
    <t>De waarde van de beleggingen van de organisatie zal fluctueren.</t>
  </si>
  <si>
    <t>de beleggingen van de organisatie worden gedaan voor een jaar of vijf</t>
  </si>
  <si>
    <t>de beleggingen van de organisatie kunnen wel  tien jaar aangehouden worden en er zijn geen tussentijdse plannen mee</t>
  </si>
  <si>
    <t>de beleggingen van de organisatie worden gedaan voor een periode langer dan tien jaar</t>
  </si>
  <si>
    <t>Als de beleggingsdoelstelling van de organisatie niet gehaald wordt</t>
  </si>
  <si>
    <t>In de samenstelling van de huidige beleggingsportefeuille van de organisatie</t>
  </si>
  <si>
    <t>Wat betreft het gedeelte duurzame beleggingen in de portefeuille van de organisatie</t>
  </si>
  <si>
    <t>private_beleggingen</t>
  </si>
  <si>
    <t>stel ik prijs op het opnemen van private beleggingen in de portefeuille</t>
  </si>
  <si>
    <t>heb ik geen interesse in private beleggingen</t>
  </si>
  <si>
    <t>Gegeven de genoemde mogelijke voor- en nadelen van private beleggingen</t>
  </si>
  <si>
    <t>stellen wij prijs op het opnemen van private beleggingen in de portefeuille</t>
  </si>
  <si>
    <t>hebben wij geen interesse in private beleggingen</t>
  </si>
  <si>
    <t>stellen wij prijs op het opnemen van private beleggingen in de portefeuille van de vereniging</t>
  </si>
  <si>
    <t>hebben wij geen interesse in private beleggingen voor de portefeuille van de vereniging</t>
  </si>
  <si>
    <t>heb ik geen interesse in private beleggingen voor de bv</t>
  </si>
  <si>
    <t>stel ik prijs op het opnemen van private beleggingen in de portefeuille van de bv</t>
  </si>
  <si>
    <t>I want to invest my assets</t>
  </si>
  <si>
    <t>so that I can pay for an expense in the foreseeable future - see also the input fields below</t>
  </si>
  <si>
    <t>to preserve it for the most part</t>
  </si>
  <si>
    <t>to invest it without much downside risk, with the chance of some growth.</t>
  </si>
  <si>
    <t>to grow it in the longer term</t>
  </si>
  <si>
    <t>to have a chance of achieving the highest result in the long term</t>
  </si>
  <si>
    <t>Would you like to explain your investment objective?</t>
  </si>
  <si>
    <t>No, that is sufficiently expressed in the answer to the previous question</t>
  </si>
  <si>
    <t>Yes please - below a text box opens in which you can write an explanation</t>
  </si>
  <si>
    <t>Equity is the value of your assets minus debts, such as a mortgage. My equity</t>
  </si>
  <si>
    <t>is not enough to maintain my spending habits</t>
  </si>
  <si>
    <t>is enough to maintain my spending habits</t>
  </si>
  <si>
    <t>far exceeds the need for regular spending in the future</t>
  </si>
  <si>
    <t>The equity can be freely investable and/or invested in real estate or other assets that are less easily tradable. My equity</t>
  </si>
  <si>
    <t>is only to a limited extent free to invest and consists of real estate (including the owner-occupied home) and/or less easily tradable assets</t>
  </si>
  <si>
    <t>is largely free to invest and consists partly of real estate (including the owner-occupied home) and/or less easily tradable assets</t>
  </si>
  <si>
    <t>is free to invest</t>
  </si>
  <si>
    <t>The part of the freely investable assets that I place with B.A. van Doorn</t>
  </si>
  <si>
    <t>is a quarter or less</t>
  </si>
  <si>
    <t>is about half</t>
  </si>
  <si>
    <t>more than half of the</t>
  </si>
  <si>
    <t>is insufficient to live on and I have to make periodic withdrawals</t>
  </si>
  <si>
    <t>is enough to live on, so I only have to make occasional withdrawals</t>
  </si>
  <si>
    <t>is more than enough and I can grow my assets, except for possibly. Withdrawals for box 3 tax</t>
  </si>
  <si>
    <t>Purely financially, without having to adjust my spending habits,</t>
  </si>
  <si>
    <t>I can only have a limited decrease in the value of my investments</t>
  </si>
  <si>
    <t>I can handle a decrease in the value of my investments of about 25%</t>
  </si>
  <si>
    <t>I can handle a drop in the value of my investments of up to 40%</t>
  </si>
  <si>
    <t>My current freely investable assets (i.e. in addition to my own home)</t>
  </si>
  <si>
    <t>consists mainly of savings and/or bonds</t>
  </si>
  <si>
    <t>is mainly invested in shares and other risk-bearing investments</t>
  </si>
  <si>
    <t>My knowledge of investing</t>
  </si>
  <si>
    <t>is limited, I know little about it</t>
  </si>
  <si>
    <t>is average and I occasionally follow the financial news</t>
  </si>
  <si>
    <t>is extensive and I follow the financial news closely</t>
  </si>
  <si>
    <t>My knowledge of investment instruments</t>
  </si>
  <si>
    <t>is present, I know what stocks and bonds are</t>
  </si>
  <si>
    <t>is present, I know what stocks, bonds and alternative investments are</t>
  </si>
  <si>
    <t>With investment services</t>
  </si>
  <si>
    <t>I have no experience</t>
  </si>
  <si>
    <t>I have experience, especially with investment advice and/or execution only</t>
  </si>
  <si>
    <t>I have experience, especially with asset management</t>
  </si>
  <si>
    <t>My experience with investing</t>
  </si>
  <si>
    <t>I have no experience with investing</t>
  </si>
  <si>
    <t>is limited</t>
  </si>
  <si>
    <t>is widely available</t>
  </si>
  <si>
    <t>When it comes to poor investment results</t>
  </si>
  <si>
    <t>I can't stand that, emotionally speaking,</t>
  </si>
  <si>
    <t>The value of my investments will fluctuate.</t>
  </si>
  <si>
    <t>I check it regularly and am on top of it</t>
  </si>
  <si>
    <t>I am waiting for the quarterly report</t>
  </si>
  <si>
    <t>I watch once a year and less than once a quarter</t>
  </si>
  <si>
    <t>Regarding my investment horizon, the following applies:</t>
  </si>
  <si>
    <t>I invest for about five years</t>
  </si>
  <si>
    <t>I can hold my investments for ten years and have no interim plans with them</t>
  </si>
  <si>
    <t>I invest for a period longer than ten years</t>
  </si>
  <si>
    <t>If I don't reach my investment objective</t>
  </si>
  <si>
    <t>That would be extremely disappointing</t>
  </si>
  <si>
    <t>That would be disappointing</t>
  </si>
  <si>
    <t>That can happen, because investing is associated with risks</t>
  </si>
  <si>
    <t>In the composition of my current investment portfolio</t>
  </si>
  <si>
    <t>sustainability doesn't play a role because I don't invest yet</t>
  </si>
  <si>
    <t>sustainability aspects do not play a special role</t>
  </si>
  <si>
    <t>sustainability aspects play a particular role in the</t>
  </si>
  <si>
    <t>When compiling my portfolio at B.A. van Doorn</t>
  </si>
  <si>
    <t>I don't have any sustainability preferences</t>
  </si>
  <si>
    <t>Regarding the sustainable investments part of our portfolio</t>
  </si>
  <si>
    <t>I want this to be more than a quarter</t>
  </si>
  <si>
    <t>I want this to be more than half</t>
  </si>
  <si>
    <t>So-called European Taxonomy investments</t>
  </si>
  <si>
    <t>are not a requirement for the filling of our portfolio</t>
  </si>
  <si>
    <t>must account for more than 10% of the portfolio</t>
  </si>
  <si>
    <t>Would you like to explain other matters that have not been discussed?</t>
  </si>
  <si>
    <t>No, that's not necessary</t>
  </si>
  <si>
    <t>I am not interested in private investments</t>
  </si>
  <si>
    <t>My income (from salary, pension, enterprise or otherwise)</t>
  </si>
  <si>
    <t>We want to invest our assets</t>
  </si>
  <si>
    <t>so that we can use it to pay for an expense in the foreseeable future - see also the input fields below</t>
  </si>
  <si>
    <t>Equity is the value of your assets minus debts, such as a mortgage. Our equity</t>
  </si>
  <si>
    <t>is not enough to maintain our spending pattern</t>
  </si>
  <si>
    <t>is sufficient to maintain our spending pattern</t>
  </si>
  <si>
    <t>The equity can be freely investable and/or invested in real estate or other assets that are less easily tradable. Our equity</t>
  </si>
  <si>
    <t>The part of our freely investable assets that we place with B.A. van Doorn</t>
  </si>
  <si>
    <t>Our income (such as from wages, pensions, or businesses)</t>
  </si>
  <si>
    <t>is insufficient to live on and we have to make periodic withdrawals</t>
  </si>
  <si>
    <t>is enough to live on, so that we only have to make occasional withdrawals</t>
  </si>
  <si>
    <t>is more than sufficient and we can grow our assets, except for possibly. Withdrawals for box 3 tax</t>
  </si>
  <si>
    <t>From a purely financial point of view, without having to adjust our spending habits,</t>
  </si>
  <si>
    <t>we can only have a limited decrease in the value of our investments</t>
  </si>
  <si>
    <t>we can handle a decrease in the value of our investments of about 25%</t>
  </si>
  <si>
    <t>we can handle a drop in the value of our investments of up to 40%</t>
  </si>
  <si>
    <t>Our current freely investable assets (i.e. in addition to our own home)</t>
  </si>
  <si>
    <t>Our knowledge of investing</t>
  </si>
  <si>
    <t>is limited, we know little about it</t>
  </si>
  <si>
    <t>is average and we occasionally follow the financial news</t>
  </si>
  <si>
    <t>Our knowledge of investment instruments</t>
  </si>
  <si>
    <t>is present, we know what stocks and bonds are</t>
  </si>
  <si>
    <t>is present, we know what shares, bonds and alternative investments are</t>
  </si>
  <si>
    <t>we have no experience</t>
  </si>
  <si>
    <t>we have experience, especially with investment advice and/or execution only</t>
  </si>
  <si>
    <t>we have experience, especially with asset management</t>
  </si>
  <si>
    <t>Our experience with investing</t>
  </si>
  <si>
    <t>We have no experience with investing</t>
  </si>
  <si>
    <t>Emotionally, we can't handle that very well</t>
  </si>
  <si>
    <t>we are prepared, at any time, to accept about 25% decrease in value</t>
  </si>
  <si>
    <t>we are prepared, at any time, to accept about 40% decrease in value</t>
  </si>
  <si>
    <t>The value of our investments will fluctuate.</t>
  </si>
  <si>
    <t>We check it regularly and are on top of it</t>
  </si>
  <si>
    <t>We await the quarterly report</t>
  </si>
  <si>
    <t>We watch once a year and less than once a quarter</t>
  </si>
  <si>
    <t>With regard to our investment horizon, the following applies:</t>
  </si>
  <si>
    <t>We invest for about five years</t>
  </si>
  <si>
    <t>We can hold our investments for up to ten years and have no interim plans with them</t>
  </si>
  <si>
    <t>We invest for a period longer than ten years</t>
  </si>
  <si>
    <t>If we don't achieve our investment objective</t>
  </si>
  <si>
    <t>In the composition of our current investment portfolio</t>
  </si>
  <si>
    <t>sustainability is not a factor because we are not yet investing</t>
  </si>
  <si>
    <t>we have no sustainability preferences</t>
  </si>
  <si>
    <t>we want this to be more than a quarter</t>
  </si>
  <si>
    <t>we have no interest in private investments</t>
  </si>
  <si>
    <t>the principal adverse impacts on sustainability factors as mentioned above should be taken into account</t>
  </si>
  <si>
    <t>The assets in the private limited company are invested</t>
  </si>
  <si>
    <t>to make an expense with this in the foreseeable future</t>
  </si>
  <si>
    <t>to invest it without much downside risk, with the potential for some growth</t>
  </si>
  <si>
    <t>Would you like to explain the investment objective of the private limited company?</t>
  </si>
  <si>
    <t>The assets in the private limited company</t>
  </si>
  <si>
    <t>is only free to invest to a limited extent and consists of loans, real estate and/or other assets that are less easily tradable</t>
  </si>
  <si>
    <t>is largely free to invest and partly consists of real estate and/or less easily tradable assets</t>
  </si>
  <si>
    <t>The part of the freely investable assets of the private limited company that will be managed by B.A. van Doorn</t>
  </si>
  <si>
    <t>Supplementary income from the private limited company for private purposes</t>
  </si>
  <si>
    <t>is necessary to live on and I have to make periodic withdrawals from the private limited company</t>
  </si>
  <si>
    <t>is sometimes necessary, as a result of which I occasionally have to make withdrawals from the private limited company</t>
  </si>
  <si>
    <t>is not necessary and the assets in the private limited company can continue to grow, except in the case of possibly. withdrawals for the payment of tax</t>
  </si>
  <si>
    <t>Purely financially, so without further adverse consequences</t>
  </si>
  <si>
    <t>I can only have a limited decrease in the value of the investments in the private limited company</t>
  </si>
  <si>
    <t>I can handle a decrease in value of about 25% of my investments in the private limited company</t>
  </si>
  <si>
    <t>I can handle a decrease in value of up to 40% of my investments in the private limited company</t>
  </si>
  <si>
    <t>The current freely investable assets of the private limited company</t>
  </si>
  <si>
    <t>When it comes to poor investment results in the private limited company</t>
  </si>
  <si>
    <t>The value of the investments in the private limited company will fluctuate.</t>
  </si>
  <si>
    <t>With regard to the investment horizon, the following applies:</t>
  </si>
  <si>
    <t>the investment in the private limited company is made for about five years</t>
  </si>
  <si>
    <t>The investments in the private limited company can be held for up to ten years and there are no interim plans</t>
  </si>
  <si>
    <t>the investments in the private limited liability company are made for a period longer than ten years</t>
  </si>
  <si>
    <t>If the investment objective of the private limited company is not achieved</t>
  </si>
  <si>
    <t>In the composition of the private limited company's current investment portfolio</t>
  </si>
  <si>
    <t>sustainability does not play a role because there are no investments yet</t>
  </si>
  <si>
    <t>In the composition of the portfolio at B.A. van Doorn</t>
  </si>
  <si>
    <t>there are no sustainability preferences</t>
  </si>
  <si>
    <t>With regard to the sustainable investments part of the private limited company's portfolio</t>
  </si>
  <si>
    <t>this must be more than a quarter</t>
  </si>
  <si>
    <t>this must be more than half</t>
  </si>
  <si>
    <t>are not a requirement for the completion of the portfolio</t>
  </si>
  <si>
    <t>I am not interested in private investments for the BV</t>
  </si>
  <si>
    <t>The assets of the association are invested</t>
  </si>
  <si>
    <t>Would you like to explain the investment objective of the association (for example, on the basis of an investment statute)?</t>
  </si>
  <si>
    <t>Equity is the value of the assets minus the debts, such as a loan. The association's equity</t>
  </si>
  <si>
    <t>The equity can be freely investable and/or invested in real estate or other assets that are less easily tradable. The free assets of the association</t>
  </si>
  <si>
    <t>The part of the association's freely investable assets that will be managed by B.A. van Doorn</t>
  </si>
  <si>
    <t>The income of the association (such as from contributions, donations or subsidies)</t>
  </si>
  <si>
    <t>From a purely financial point of view, without having to make adjustments to the annual budget to be spent</t>
  </si>
  <si>
    <t>The current freely investable assets of the association</t>
  </si>
  <si>
    <t>When it comes to poor investment results of the association</t>
  </si>
  <si>
    <t>The value of the association's investments will fluctuate.</t>
  </si>
  <si>
    <t>If the investment objective of the association is not achieved</t>
  </si>
  <si>
    <t>In the composition of the association's current investment portfolio</t>
  </si>
  <si>
    <t>Regarding the sustainable investments part of the association's portfolio</t>
  </si>
  <si>
    <t>to pay for an expense in the foreseeable future - see also the input fields below</t>
  </si>
  <si>
    <t>is not sufficient to maintain the expected minimum cash flow</t>
  </si>
  <si>
    <t>is sufficient to maintain the expected minimum cash flow</t>
  </si>
  <si>
    <t>far exceeds the expected minimum cash flow in the future</t>
  </si>
  <si>
    <t>is insufficient to bear the costs of the association and annual withdrawals from the investments are necessary</t>
  </si>
  <si>
    <t>is sufficient to bear the costs, so that only occasional withdrawals from the portfolio are necessary</t>
  </si>
  <si>
    <t>is more than sufficient and the assets of the association can continue to grow, except for possibly. withdrawals for incidental expenses</t>
  </si>
  <si>
    <t>the association can only have a limited decrease in the value of the investments</t>
  </si>
  <si>
    <t>the association can handle a decrease in the value of the investments of approximately 25%</t>
  </si>
  <si>
    <t>the association can handle a decrease in the value of the investments of up to 40%</t>
  </si>
  <si>
    <t>This is expected to lead to discussions about the investment policy immediately</t>
  </si>
  <si>
    <t>is the association prepared, at any time, to accept about a 25% decrease in value</t>
  </si>
  <si>
    <t>is the association prepared, at any time, to accept about 40% decrease in value</t>
  </si>
  <si>
    <t>The investments of the association are made for about five years</t>
  </si>
  <si>
    <t>The investments of the association can be held for up to ten years and there are no interim plans</t>
  </si>
  <si>
    <t>The investments of the association are made for a period of more than ten years</t>
  </si>
  <si>
    <t>we are not interested in private investments for the portfolio of the association</t>
  </si>
  <si>
    <t>am I willing, at some point, to accept about a 25% decrease in value</t>
  </si>
  <si>
    <t>am I willing, at some point, to accept about a 40% decrease in value</t>
  </si>
  <si>
    <t>I would appreciate the inclusion of private investments in the portfolio</t>
  </si>
  <si>
    <t>we would appreciate the inclusion of private investments in the portfolio</t>
  </si>
  <si>
    <t>I would appreciate including private investments in the portfolio of the BV</t>
  </si>
  <si>
    <t>we would appreciate the inclusion of private investments in the portfolio of the association</t>
  </si>
  <si>
    <t>Given the possible advantages and disadvantages of private investments mentioned,</t>
  </si>
  <si>
    <t>is invested in a portfolio of equities and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</si>
</sst>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 x14ac:knownFonts="1">
    <font>
      <sz val="11"/>
      <color theme="1"/>
      <name val="Palatino Linotype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b/>
      <sz val="24"/>
      <color theme="1"/>
      <name val="Arial"/>
      <family val="2"/>
    </font>
    <font>
      <b/>
      <sz val="24"/>
      <color rgb="FF629080"/>
      <name val="Arial"/>
      <family val="2"/>
    </font>
    <font>
      <b/>
      <sz val="14"/>
      <color rgb="FF629080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b/>
      <sz val="13"/>
      <name val="Arial"/>
      <family val="2"/>
    </font>
    <font>
      <sz val="13"/>
      <color theme="1"/>
      <name val="Palatino Linotype"/>
      <family val="2"/>
    </font>
    <font>
      <sz val="11"/>
      <color theme="1"/>
      <name val="Arial"/>
      <family val="2"/>
    </font>
    <font>
      <sz val="12"/>
      <color rgb="FF9C5700"/>
      <name val="Calibri"/>
      <family val="2"/>
      <scheme val="minor"/>
    </font>
    <font>
      <sz val="8"/>
      <name val="Palatino Linotype"/>
      <family val="2"/>
    </font>
    <font>
      <sz val="12"/>
      <color rgb="FF000000"/>
      <name val="Arial"/>
      <family val="2"/>
    </font>
    <font>
      <sz val="16"/>
      <color theme="1"/>
      <name val="Arial"/>
      <family val="2"/>
    </font>
    <font>
      <sz val="16"/>
      <color theme="5" tint="-0.249977111117893"/>
      <name val="Arial"/>
      <family val="2"/>
    </font>
    <font>
      <sz val="12"/>
      <color theme="5" tint="-0.249977111117893"/>
      <name val="Arial"/>
      <family val="2"/>
    </font>
    <font>
      <b/>
      <sz val="11"/>
      <color theme="1"/>
      <name val="Palatino Linotype"/>
      <family val="1"/>
    </font>
    <font>
      <sz val="11"/>
      <color rgb="FF000000"/>
      <name val="Arial"/>
      <family val="2"/>
    </font>
    <font>
      <sz val="12"/>
      <color rgb="FFFF0000"/>
      <name val="Arial"/>
      <family val="2"/>
    </font>
    <font>
      <sz val="12"/>
      <color rgb="FF96363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2908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6" fillId="4" borderId="0" applyNumberFormat="0" applyBorder="0" applyAlignment="0" applyProtection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Protection="1">
      <protection locked="0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0" xfId="0" applyFont="1"/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 applyProtection="1">
      <alignment vertical="center"/>
      <protection locked="0"/>
    </xf>
    <xf numFmtId="0" fontId="10" fillId="0" borderId="0" xfId="0" applyFont="1" applyAlignment="1">
      <alignment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Protection="1">
      <protection locked="0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vertical="top" wrapText="1"/>
    </xf>
    <xf numFmtId="0" fontId="11" fillId="2" borderId="0" xfId="0" applyFont="1" applyFill="1" applyAlignment="1">
      <alignment horizontal="center" vertical="top" wrapText="1"/>
    </xf>
    <xf numFmtId="0" fontId="12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2" fillId="0" borderId="0" xfId="0" applyFont="1"/>
    <xf numFmtId="0" fontId="11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right"/>
      <protection locked="0"/>
    </xf>
    <xf numFmtId="0" fontId="11" fillId="0" borderId="0" xfId="0" applyFont="1" applyAlignment="1">
      <alignment horizontal="left" wrapText="1"/>
    </xf>
    <xf numFmtId="0" fontId="15" fillId="0" borderId="0" xfId="0" applyFont="1"/>
    <xf numFmtId="0" fontId="16" fillId="4" borderId="0" xfId="1" applyAlignment="1">
      <alignment vertical="top"/>
    </xf>
    <xf numFmtId="0" fontId="18" fillId="0" borderId="0" xfId="0" applyFont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0" fillId="6" borderId="0" xfId="0" applyFill="1"/>
    <xf numFmtId="0" fontId="0" fillId="5" borderId="0" xfId="0" applyFill="1"/>
    <xf numFmtId="0" fontId="0" fillId="0" borderId="1" xfId="0" applyBorder="1"/>
    <xf numFmtId="0" fontId="0" fillId="7" borderId="0" xfId="0" applyFill="1"/>
    <xf numFmtId="0" fontId="0" fillId="3" borderId="0" xfId="0" applyFill="1"/>
    <xf numFmtId="164" fontId="0" fillId="0" borderId="0" xfId="0" applyNumberFormat="1"/>
    <xf numFmtId="0" fontId="0" fillId="8" borderId="0" xfId="0" applyFill="1"/>
    <xf numFmtId="164" fontId="0" fillId="0" borderId="1" xfId="0" applyNumberFormat="1" applyBorder="1"/>
    <xf numFmtId="0" fontId="4" fillId="0" borderId="0" xfId="0" applyFont="1" applyAlignment="1">
      <alignment vertical="top"/>
    </xf>
    <xf numFmtId="0" fontId="3" fillId="8" borderId="0" xfId="0" applyFont="1" applyFill="1" applyAlignment="1">
      <alignment vertical="top"/>
    </xf>
    <xf numFmtId="0" fontId="3" fillId="9" borderId="0" xfId="0" applyFont="1" applyFill="1" applyAlignment="1">
      <alignment vertical="top"/>
    </xf>
    <xf numFmtId="0" fontId="19" fillId="0" borderId="0" xfId="0" applyFont="1"/>
    <xf numFmtId="0" fontId="0" fillId="0" borderId="0" xfId="0" applyAlignment="1">
      <alignment horizontal="right"/>
    </xf>
    <xf numFmtId="0" fontId="20" fillId="0" borderId="0" xfId="0" applyFont="1"/>
    <xf numFmtId="0" fontId="21" fillId="0" borderId="0" xfId="0" applyFont="1" applyAlignment="1">
      <alignment vertical="top"/>
    </xf>
    <xf numFmtId="0" fontId="23" fillId="0" borderId="0" xfId="0" applyFont="1"/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/>
    </xf>
    <xf numFmtId="0" fontId="18" fillId="10" borderId="0" xfId="0" applyFont="1" applyFill="1" applyAlignment="1">
      <alignment vertical="top"/>
    </xf>
    <xf numFmtId="0" fontId="3" fillId="11" borderId="0" xfId="0" applyFont="1" applyFill="1" applyAlignment="1">
      <alignment vertical="top"/>
    </xf>
    <xf numFmtId="0" fontId="2" fillId="0" borderId="0" xfId="0" applyFont="1" applyAlignment="1">
      <alignment horizontal="center" wrapText="1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/>
    </xf>
  </cellXfs>
  <cellStyles count="2">
    <cellStyle name="Neutral" xfId="1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29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9"/>
  <dimension ref="A1:Z127"/>
  <sheetViews>
    <sheetView topLeftCell="A50" zoomScale="88" zoomScaleNormal="88" workbookViewId="0">
      <selection activeCell="D54" sqref="D54"/>
    </sheetView>
  </sheetViews>
  <sheetFormatPr baseColWidth="10" defaultColWidth="9" defaultRowHeight="15" customHeight="1" x14ac:dyDescent="0.25"/>
  <cols>
    <col min="1" max="1" width="10.5" style="22" customWidth="1"/>
    <col min="2" max="2" width="4.1640625" style="22" customWidth="1"/>
    <col min="3" max="3" width="4.6640625" style="48" customWidth="1"/>
    <col min="4" max="4" width="109.1640625" style="26" customWidth="1"/>
    <col min="5" max="5" width="4.6640625" style="8" customWidth="1"/>
    <col min="6" max="6" width="15.6640625" style="9" customWidth="1"/>
    <col min="7" max="7" width="3.1640625" style="9" customWidth="1"/>
    <col min="8" max="8" width="11.33203125" style="10" bestFit="1" customWidth="1"/>
    <col min="9" max="9" width="8.83203125"/>
    <col min="10" max="10" width="10.33203125" style="1" customWidth="1"/>
    <col min="11" max="12" width="5.83203125" style="1" customWidth="1"/>
    <col min="13" max="13" width="5.83203125" style="1" hidden="1" customWidth="1"/>
    <col min="14" max="14" width="14.1640625" style="1" bestFit="1" customWidth="1"/>
    <col min="15" max="15" width="25.1640625" style="1" bestFit="1" customWidth="1"/>
    <col min="16" max="16" width="9" style="1"/>
    <col min="17" max="18" width="8.83203125"/>
    <col min="19" max="19" width="9" style="5" customWidth="1"/>
    <col min="20" max="20" width="5.1640625" style="5" customWidth="1"/>
    <col min="21" max="21" width="3.33203125" style="5" hidden="1" customWidth="1"/>
    <col min="22" max="22" width="40.6640625" style="5" hidden="1" customWidth="1"/>
    <col min="23" max="23" width="5.5" style="35" hidden="1" customWidth="1"/>
    <col min="24" max="24" width="4.1640625" style="5" hidden="1" customWidth="1"/>
    <col min="25" max="25" width="11.5" style="33" hidden="1" customWidth="1"/>
    <col min="26" max="26" width="30.83203125" style="5" hidden="1" customWidth="1"/>
    <col min="27" max="16384" width="9" style="5"/>
  </cols>
  <sheetData>
    <row r="1" spans="1:26" ht="30" x14ac:dyDescent="0.25">
      <c r="D1" s="42" t="s">
        <v>68</v>
      </c>
    </row>
    <row r="2" spans="1:26" ht="17" x14ac:dyDescent="0.25"/>
    <row r="3" spans="1:26" s="49" customFormat="1" ht="20" x14ac:dyDescent="0.3">
      <c r="A3" s="92" t="s">
        <v>32</v>
      </c>
      <c r="B3" s="92"/>
      <c r="C3" s="92"/>
      <c r="D3" s="61"/>
      <c r="E3" s="54"/>
      <c r="F3" s="55" t="s">
        <v>34</v>
      </c>
      <c r="G3" s="55"/>
      <c r="H3" s="56" t="s">
        <v>35</v>
      </c>
      <c r="I3" s="57"/>
      <c r="J3" s="58"/>
      <c r="K3" s="58"/>
      <c r="L3" s="58"/>
      <c r="M3" s="58"/>
      <c r="N3" s="58"/>
      <c r="O3" s="58"/>
      <c r="P3" s="58"/>
      <c r="Q3" s="57"/>
      <c r="R3" s="57"/>
      <c r="W3" s="59"/>
      <c r="Y3" s="60"/>
    </row>
    <row r="4" spans="1:26" s="49" customFormat="1" ht="20" x14ac:dyDescent="0.3">
      <c r="A4" s="92" t="s">
        <v>37</v>
      </c>
      <c r="B4" s="92"/>
      <c r="C4" s="92"/>
      <c r="D4" s="61"/>
      <c r="E4" s="54"/>
      <c r="F4" s="55"/>
      <c r="G4" s="55"/>
      <c r="H4" s="56" t="s">
        <v>36</v>
      </c>
      <c r="I4" s="57"/>
      <c r="J4" s="58"/>
      <c r="K4" s="58"/>
      <c r="L4" s="58"/>
      <c r="M4" s="58"/>
      <c r="N4" s="58"/>
      <c r="O4" s="58"/>
      <c r="P4" s="58"/>
      <c r="Q4" s="57"/>
      <c r="R4" s="57"/>
      <c r="W4" s="59"/>
      <c r="Y4" s="60"/>
    </row>
    <row r="5" spans="1:26" s="49" customFormat="1" ht="18.75" customHeight="1" x14ac:dyDescent="0.3">
      <c r="A5" s="93" t="s">
        <v>38</v>
      </c>
      <c r="B5" s="93"/>
      <c r="C5" s="93"/>
      <c r="D5" s="61"/>
      <c r="E5" s="54"/>
      <c r="F5" s="55"/>
      <c r="G5" s="55"/>
      <c r="H5" s="56"/>
      <c r="I5" s="57"/>
      <c r="J5" s="58"/>
      <c r="K5" s="58"/>
      <c r="L5" s="58"/>
      <c r="M5" s="58"/>
      <c r="N5" s="58"/>
      <c r="O5" s="58"/>
      <c r="P5" s="58"/>
      <c r="Q5" s="57"/>
      <c r="R5" s="57"/>
      <c r="W5" s="59"/>
      <c r="Y5" s="60"/>
    </row>
    <row r="6" spans="1:26" ht="17" x14ac:dyDescent="0.25">
      <c r="H6" s="14"/>
    </row>
    <row r="7" spans="1:26" ht="18" x14ac:dyDescent="0.25">
      <c r="B7" s="22">
        <v>1</v>
      </c>
      <c r="C7" s="49"/>
      <c r="D7" s="6" t="s">
        <v>1</v>
      </c>
    </row>
    <row r="8" spans="1:26" ht="17" x14ac:dyDescent="0.25">
      <c r="E8" s="21"/>
      <c r="U8" s="1">
        <v>1</v>
      </c>
      <c r="V8" s="7" t="str">
        <f>CONCATENATE(Y8,Z8)</f>
        <v>100RM zeer defensieve belegger</v>
      </c>
      <c r="Y8" s="33" t="s">
        <v>105</v>
      </c>
      <c r="Z8" s="7" t="s">
        <v>48</v>
      </c>
    </row>
    <row r="9" spans="1:26" ht="18" x14ac:dyDescent="0.25">
      <c r="B9" s="22">
        <v>1</v>
      </c>
      <c r="C9" s="48" t="s">
        <v>69</v>
      </c>
      <c r="D9" s="39" t="s">
        <v>43</v>
      </c>
      <c r="E9" s="8" t="s">
        <v>2</v>
      </c>
      <c r="F9" s="3">
        <f>IF($E9="X",+$H9,0)</f>
        <v>2</v>
      </c>
      <c r="H9" s="4">
        <v>2</v>
      </c>
      <c r="T9" s="8" t="s">
        <v>2</v>
      </c>
      <c r="U9" s="1">
        <v>2</v>
      </c>
      <c r="V9" s="7" t="str">
        <f t="shared" ref="V9:V14" si="0">CONCATENATE(Y9,Z9)</f>
        <v>100RM zeer defensieve belegger</v>
      </c>
      <c r="W9" s="35">
        <v>3</v>
      </c>
      <c r="Y9" s="33" t="s">
        <v>105</v>
      </c>
      <c r="Z9" s="7" t="s">
        <v>48</v>
      </c>
    </row>
    <row r="10" spans="1:26" ht="18" x14ac:dyDescent="0.25">
      <c r="B10" s="22">
        <v>1</v>
      </c>
      <c r="C10" s="48" t="s">
        <v>70</v>
      </c>
      <c r="D10" s="39" t="s">
        <v>44</v>
      </c>
      <c r="E10" s="8">
        <v>0</v>
      </c>
      <c r="F10" s="3">
        <f>IF($E10="X",+$H10,0)</f>
        <v>0</v>
      </c>
      <c r="H10" s="4">
        <v>3</v>
      </c>
      <c r="T10" s="8">
        <v>0</v>
      </c>
      <c r="U10" s="1">
        <v>3</v>
      </c>
      <c r="V10" s="7" t="str">
        <f t="shared" si="0"/>
        <v>20RD80RM Defensieve belegger</v>
      </c>
      <c r="W10" s="35" t="s">
        <v>26</v>
      </c>
      <c r="Y10" s="33" t="s">
        <v>106</v>
      </c>
      <c r="Z10" s="7" t="s">
        <v>21</v>
      </c>
    </row>
    <row r="11" spans="1:26" ht="18" x14ac:dyDescent="0.25">
      <c r="B11" s="22">
        <v>1</v>
      </c>
      <c r="C11" s="48" t="s">
        <v>71</v>
      </c>
      <c r="D11" s="39" t="s">
        <v>3</v>
      </c>
      <c r="E11" s="8">
        <v>0</v>
      </c>
      <c r="F11" s="3">
        <f>IF($E11="X",+$H11,0)</f>
        <v>0</v>
      </c>
      <c r="H11" s="4">
        <v>0</v>
      </c>
      <c r="U11" s="1">
        <v>4</v>
      </c>
      <c r="V11" s="7" t="str">
        <f t="shared" si="0"/>
        <v>20RD80RM Defensieve belegger</v>
      </c>
      <c r="Y11" s="33" t="s">
        <v>106</v>
      </c>
      <c r="Z11" s="7" t="s">
        <v>21</v>
      </c>
    </row>
    <row r="12" spans="1:26" ht="18" x14ac:dyDescent="0.25">
      <c r="B12" s="22">
        <v>1</v>
      </c>
      <c r="C12" s="50" t="s">
        <v>72</v>
      </c>
      <c r="D12" s="39" t="s">
        <v>41</v>
      </c>
      <c r="E12" s="32">
        <v>0</v>
      </c>
      <c r="F12" s="3">
        <f>IF($E12="X",+$H12,0)</f>
        <v>0</v>
      </c>
      <c r="H12" s="4">
        <v>1</v>
      </c>
      <c r="J12" s="12"/>
      <c r="K12" s="12"/>
      <c r="L12" s="12"/>
      <c r="M12" s="12"/>
      <c r="N12" s="12"/>
      <c r="U12" s="1">
        <v>5</v>
      </c>
      <c r="V12" s="7" t="str">
        <f t="shared" si="0"/>
        <v>20RD80RM Defensieve belegger</v>
      </c>
      <c r="Y12" s="33" t="s">
        <v>106</v>
      </c>
      <c r="Z12" s="7" t="s">
        <v>21</v>
      </c>
    </row>
    <row r="13" spans="1:26" ht="17" x14ac:dyDescent="0.25">
      <c r="C13" s="50"/>
      <c r="D13" s="39"/>
      <c r="E13" s="32"/>
      <c r="J13" s="12"/>
      <c r="K13" s="12"/>
      <c r="L13" s="12"/>
      <c r="M13" s="12"/>
      <c r="N13" s="12"/>
      <c r="U13" s="1"/>
      <c r="V13" s="7"/>
      <c r="Z13" s="7"/>
    </row>
    <row r="14" spans="1:26" ht="35" x14ac:dyDescent="0.25">
      <c r="B14" s="11">
        <v>2</v>
      </c>
      <c r="D14" s="6" t="s">
        <v>33</v>
      </c>
      <c r="E14" s="8" t="s">
        <v>26</v>
      </c>
      <c r="U14" s="5">
        <v>6</v>
      </c>
      <c r="V14" s="7" t="str">
        <f t="shared" si="0"/>
        <v>20RD80RM Defensieve belegger</v>
      </c>
      <c r="W14" s="35" t="s">
        <v>26</v>
      </c>
      <c r="Y14" s="33" t="s">
        <v>106</v>
      </c>
      <c r="Z14" s="33" t="s">
        <v>21</v>
      </c>
    </row>
    <row r="15" spans="1:26" ht="18" x14ac:dyDescent="0.25">
      <c r="D15" s="6" t="s">
        <v>4</v>
      </c>
      <c r="V15" s="33"/>
      <c r="Z15" s="33"/>
    </row>
    <row r="16" spans="1:26" ht="17" x14ac:dyDescent="0.25">
      <c r="D16" s="6"/>
      <c r="F16" s="3"/>
      <c r="H16" s="4"/>
      <c r="V16" s="33"/>
      <c r="Z16" s="33"/>
    </row>
    <row r="17" spans="1:26" ht="19" x14ac:dyDescent="0.25">
      <c r="B17" s="22">
        <v>2</v>
      </c>
      <c r="C17" s="51" t="s">
        <v>69</v>
      </c>
      <c r="D17" s="12" t="s">
        <v>74</v>
      </c>
      <c r="E17" s="8">
        <v>0</v>
      </c>
      <c r="F17" s="3">
        <f>IF($E17="X",+$H17,0)</f>
        <v>0</v>
      </c>
      <c r="H17" s="4">
        <v>0</v>
      </c>
      <c r="U17" s="1">
        <v>7</v>
      </c>
      <c r="V17" s="7" t="str">
        <f t="shared" ref="V17:V28" si="1">CONCATENATE(Y17,Z17)</f>
        <v>20RD80RM Defensieve belegger</v>
      </c>
      <c r="W17" s="35">
        <v>6</v>
      </c>
      <c r="Y17" s="33" t="s">
        <v>106</v>
      </c>
      <c r="Z17" s="7" t="s">
        <v>21</v>
      </c>
    </row>
    <row r="18" spans="1:26" ht="18" x14ac:dyDescent="0.25">
      <c r="B18" s="22">
        <v>2</v>
      </c>
      <c r="C18" s="48" t="s">
        <v>70</v>
      </c>
      <c r="D18" s="39" t="s">
        <v>75</v>
      </c>
      <c r="E18" s="8">
        <v>0</v>
      </c>
      <c r="F18" s="3">
        <f>IF($E18="X",+$H18,0)</f>
        <v>0</v>
      </c>
      <c r="H18" s="4">
        <v>6</v>
      </c>
      <c r="U18" s="1">
        <v>8</v>
      </c>
      <c r="V18" s="7" t="str">
        <f t="shared" si="1"/>
        <v>20RD80RM Defensieve belegger</v>
      </c>
      <c r="Y18" s="33" t="s">
        <v>106</v>
      </c>
      <c r="Z18" s="7" t="s">
        <v>21</v>
      </c>
    </row>
    <row r="19" spans="1:26" ht="18" x14ac:dyDescent="0.25">
      <c r="B19" s="22">
        <v>2</v>
      </c>
      <c r="C19" s="48" t="s">
        <v>71</v>
      </c>
      <c r="D19" s="39" t="s">
        <v>76</v>
      </c>
      <c r="E19" s="8" t="s">
        <v>2</v>
      </c>
      <c r="F19" s="3">
        <f>IF($E19="X",+$H19,0)</f>
        <v>2</v>
      </c>
      <c r="H19" s="4">
        <v>2</v>
      </c>
      <c r="U19" s="1">
        <v>9</v>
      </c>
      <c r="V19" s="7" t="str">
        <f t="shared" si="1"/>
        <v>30RD70RM Gematigd Defensieve belegger</v>
      </c>
      <c r="Y19" s="33" t="s">
        <v>107</v>
      </c>
      <c r="Z19" s="7" t="s">
        <v>22</v>
      </c>
    </row>
    <row r="20" spans="1:26" ht="18" x14ac:dyDescent="0.25">
      <c r="B20" s="22">
        <v>2</v>
      </c>
      <c r="C20" s="48" t="s">
        <v>72</v>
      </c>
      <c r="D20" s="39" t="s">
        <v>77</v>
      </c>
      <c r="E20" s="8">
        <v>0</v>
      </c>
      <c r="F20" s="3">
        <f>IF($E20="X",+$H20,0)</f>
        <v>0</v>
      </c>
      <c r="H20" s="4">
        <v>4</v>
      </c>
      <c r="U20" s="1">
        <v>10</v>
      </c>
      <c r="V20" s="7" t="str">
        <f t="shared" si="1"/>
        <v>30RD70RM Gematigd Defensieve belegger</v>
      </c>
      <c r="Y20" s="33" t="s">
        <v>107</v>
      </c>
      <c r="Z20" s="7" t="s">
        <v>22</v>
      </c>
    </row>
    <row r="21" spans="1:26" ht="18" x14ac:dyDescent="0.25">
      <c r="B21" s="22">
        <v>2</v>
      </c>
      <c r="C21" s="48" t="s">
        <v>73</v>
      </c>
      <c r="D21" s="39" t="s">
        <v>78</v>
      </c>
      <c r="E21" s="8">
        <v>0</v>
      </c>
      <c r="F21" s="3">
        <f>IF($E21="X",+$H21,0)</f>
        <v>0</v>
      </c>
      <c r="H21" s="4">
        <v>3</v>
      </c>
      <c r="U21" s="1">
        <v>11</v>
      </c>
      <c r="V21" s="7" t="str">
        <f t="shared" si="1"/>
        <v>30RD70RM Gematigd Defensieve belegger</v>
      </c>
      <c r="Y21" s="33" t="s">
        <v>107</v>
      </c>
      <c r="Z21" s="7" t="s">
        <v>22</v>
      </c>
    </row>
    <row r="22" spans="1:26" ht="17" x14ac:dyDescent="0.25">
      <c r="D22" s="39"/>
      <c r="U22" s="1"/>
      <c r="V22" s="7"/>
      <c r="Z22" s="7"/>
    </row>
    <row r="23" spans="1:26" ht="18" x14ac:dyDescent="0.25">
      <c r="B23" s="22">
        <v>3</v>
      </c>
      <c r="D23" s="6" t="s">
        <v>5</v>
      </c>
      <c r="U23" s="1">
        <v>12</v>
      </c>
      <c r="V23" s="7" t="str">
        <f t="shared" si="1"/>
        <v>30RD70RM Gematigd Defensieve belegger</v>
      </c>
      <c r="W23" s="35">
        <v>4</v>
      </c>
      <c r="Y23" s="33" t="s">
        <v>107</v>
      </c>
      <c r="Z23" s="7" t="s">
        <v>22</v>
      </c>
    </row>
    <row r="24" spans="1:26" ht="17" x14ac:dyDescent="0.25">
      <c r="D24" s="6"/>
      <c r="U24" s="1"/>
      <c r="V24" s="7"/>
      <c r="Z24" s="7"/>
    </row>
    <row r="25" spans="1:26" ht="19" x14ac:dyDescent="0.25">
      <c r="A25" s="5"/>
      <c r="B25" s="22">
        <v>3</v>
      </c>
      <c r="C25" s="51" t="s">
        <v>69</v>
      </c>
      <c r="D25" s="12" t="s">
        <v>40</v>
      </c>
      <c r="E25" s="8">
        <v>0</v>
      </c>
      <c r="F25" s="3">
        <f>IF($E25="X",+$H25,0)</f>
        <v>0</v>
      </c>
      <c r="H25" s="4">
        <v>3</v>
      </c>
      <c r="U25" s="1">
        <v>13</v>
      </c>
      <c r="V25" s="7" t="str">
        <f t="shared" si="1"/>
        <v>40RD60RM Neutrale Defensieve belegger</v>
      </c>
      <c r="Y25" s="33" t="s">
        <v>108</v>
      </c>
      <c r="Z25" s="7" t="s">
        <v>45</v>
      </c>
    </row>
    <row r="26" spans="1:26" ht="18" x14ac:dyDescent="0.25">
      <c r="B26" s="22">
        <v>3</v>
      </c>
      <c r="C26" s="48" t="s">
        <v>70</v>
      </c>
      <c r="D26" s="39" t="s">
        <v>80</v>
      </c>
      <c r="E26" s="8">
        <v>0</v>
      </c>
      <c r="F26" s="3">
        <f>IF($E26="X",+$H26,0)</f>
        <v>0</v>
      </c>
      <c r="H26" s="4">
        <v>0</v>
      </c>
      <c r="U26" s="1">
        <v>14</v>
      </c>
      <c r="V26" s="7" t="str">
        <f t="shared" si="1"/>
        <v>40RD60RM Neutrale Defensieve belegger</v>
      </c>
      <c r="Y26" s="33" t="s">
        <v>108</v>
      </c>
      <c r="Z26" s="7" t="s">
        <v>45</v>
      </c>
    </row>
    <row r="27" spans="1:26" ht="18" x14ac:dyDescent="0.25">
      <c r="B27" s="22">
        <v>3</v>
      </c>
      <c r="C27" s="48" t="s">
        <v>71</v>
      </c>
      <c r="D27" s="39" t="s">
        <v>79</v>
      </c>
      <c r="E27" s="8" t="s">
        <v>2</v>
      </c>
      <c r="F27" s="3">
        <f>IF($E27="X",+$H27,0)</f>
        <v>2</v>
      </c>
      <c r="H27" s="4">
        <v>2</v>
      </c>
      <c r="U27" s="1">
        <v>15</v>
      </c>
      <c r="V27" s="7" t="str">
        <f t="shared" si="1"/>
        <v>40RD60RM Neutrale Defensieve belegger</v>
      </c>
      <c r="Y27" s="33" t="s">
        <v>108</v>
      </c>
      <c r="Z27" s="7" t="s">
        <v>45</v>
      </c>
    </row>
    <row r="28" spans="1:26" ht="18" x14ac:dyDescent="0.25">
      <c r="B28" s="22">
        <v>3</v>
      </c>
      <c r="C28" s="48" t="s">
        <v>72</v>
      </c>
      <c r="D28" s="39" t="s">
        <v>81</v>
      </c>
      <c r="E28" s="8">
        <v>0</v>
      </c>
      <c r="F28" s="3">
        <f>IF($E28="X",+$H28,0)</f>
        <v>0</v>
      </c>
      <c r="H28" s="4">
        <v>1</v>
      </c>
      <c r="U28" s="1">
        <v>16</v>
      </c>
      <c r="V28" s="7" t="str">
        <f t="shared" si="1"/>
        <v>40RD60RM Neutrale Defensieve belegger</v>
      </c>
      <c r="Y28" s="33" t="s">
        <v>108</v>
      </c>
      <c r="Z28" s="7" t="s">
        <v>45</v>
      </c>
    </row>
    <row r="29" spans="1:26" ht="18" x14ac:dyDescent="0.25">
      <c r="B29" s="22">
        <v>3</v>
      </c>
      <c r="C29" s="48" t="s">
        <v>73</v>
      </c>
      <c r="D29" s="39" t="s">
        <v>102</v>
      </c>
      <c r="E29" s="8">
        <v>0</v>
      </c>
      <c r="F29" s="3">
        <f>IF($E29="X",+$H29,0)</f>
        <v>0</v>
      </c>
      <c r="H29" s="4">
        <v>1</v>
      </c>
      <c r="U29" s="1"/>
      <c r="V29" s="7"/>
      <c r="Z29" s="7"/>
    </row>
    <row r="30" spans="1:26" ht="17" x14ac:dyDescent="0.25">
      <c r="D30" s="39"/>
      <c r="U30" s="1"/>
      <c r="V30" s="7"/>
      <c r="Z30" s="7"/>
    </row>
    <row r="31" spans="1:26" ht="35" x14ac:dyDescent="0.25">
      <c r="B31" s="22">
        <v>4</v>
      </c>
      <c r="D31" s="6" t="s">
        <v>42</v>
      </c>
      <c r="U31" s="1">
        <v>17</v>
      </c>
      <c r="V31" s="7" t="str">
        <f t="shared" ref="V31:V36" si="2">CONCATENATE(Y31,Z31)</f>
        <v>40RD60RM Neutrale Defensieve belegger</v>
      </c>
      <c r="W31" s="35" t="s">
        <v>26</v>
      </c>
      <c r="Y31" s="33" t="s">
        <v>108</v>
      </c>
      <c r="Z31" s="7" t="s">
        <v>45</v>
      </c>
    </row>
    <row r="32" spans="1:26" ht="17" x14ac:dyDescent="0.25">
      <c r="D32" s="6"/>
      <c r="U32" s="1"/>
      <c r="V32" s="7"/>
      <c r="Z32" s="7"/>
    </row>
    <row r="33" spans="1:26" ht="19" x14ac:dyDescent="0.25">
      <c r="A33" s="5"/>
      <c r="B33" s="5">
        <v>4</v>
      </c>
      <c r="C33" s="51" t="s">
        <v>69</v>
      </c>
      <c r="D33" s="12" t="s">
        <v>6</v>
      </c>
      <c r="E33" s="8" t="s">
        <v>2</v>
      </c>
      <c r="F33" s="3">
        <f>IF($E33="X",+$H33,0)</f>
        <v>0</v>
      </c>
      <c r="H33" s="4">
        <v>0</v>
      </c>
      <c r="U33" s="1">
        <v>18</v>
      </c>
      <c r="V33" s="7" t="str">
        <f t="shared" si="2"/>
        <v>40RD60RM Neutrale Defensieve belegger</v>
      </c>
      <c r="W33" s="35">
        <v>6</v>
      </c>
      <c r="Y33" s="33" t="s">
        <v>108</v>
      </c>
      <c r="Z33" s="7" t="s">
        <v>45</v>
      </c>
    </row>
    <row r="34" spans="1:26" ht="18" x14ac:dyDescent="0.25">
      <c r="B34" s="22">
        <v>4</v>
      </c>
      <c r="C34" s="48" t="s">
        <v>70</v>
      </c>
      <c r="D34" s="39" t="s">
        <v>7</v>
      </c>
      <c r="E34" s="8">
        <v>0</v>
      </c>
      <c r="F34" s="3">
        <f>IF($E34="X",+$H34,0)</f>
        <v>0</v>
      </c>
      <c r="H34" s="4">
        <v>1</v>
      </c>
      <c r="U34" s="1">
        <v>19</v>
      </c>
      <c r="V34" s="7" t="str">
        <f t="shared" si="2"/>
        <v>50RD50RM Neutrale belegger</v>
      </c>
      <c r="Y34" s="33" t="s">
        <v>109</v>
      </c>
      <c r="Z34" s="7" t="s">
        <v>23</v>
      </c>
    </row>
    <row r="35" spans="1:26" ht="18" x14ac:dyDescent="0.25">
      <c r="B35" s="22">
        <v>4</v>
      </c>
      <c r="C35" s="48" t="s">
        <v>71</v>
      </c>
      <c r="D35" s="39" t="s">
        <v>8</v>
      </c>
      <c r="E35" s="8">
        <v>0</v>
      </c>
      <c r="F35" s="3">
        <f>IF($E35="X",+$H35,0)</f>
        <v>0</v>
      </c>
      <c r="H35" s="4">
        <v>2</v>
      </c>
      <c r="U35" s="1">
        <v>20</v>
      </c>
      <c r="V35" s="7" t="str">
        <f t="shared" si="2"/>
        <v>50RD50RM Neutrale belegger</v>
      </c>
      <c r="Y35" s="33" t="s">
        <v>109</v>
      </c>
      <c r="Z35" s="7" t="s">
        <v>23</v>
      </c>
    </row>
    <row r="36" spans="1:26" ht="18" x14ac:dyDescent="0.25">
      <c r="B36" s="22">
        <v>4</v>
      </c>
      <c r="C36" s="48" t="s">
        <v>72</v>
      </c>
      <c r="D36" s="39" t="s">
        <v>0</v>
      </c>
      <c r="E36" s="8">
        <v>0</v>
      </c>
      <c r="F36" s="3">
        <f>IF($E36="X",+$H36,0)</f>
        <v>0</v>
      </c>
      <c r="H36" s="4">
        <v>3</v>
      </c>
      <c r="U36" s="1">
        <v>21</v>
      </c>
      <c r="V36" s="7" t="str">
        <f t="shared" si="2"/>
        <v>50RD50RM Neutrale belegger</v>
      </c>
      <c r="Y36" s="33" t="s">
        <v>109</v>
      </c>
      <c r="Z36" s="7" t="s">
        <v>23</v>
      </c>
    </row>
    <row r="37" spans="1:26" ht="17" x14ac:dyDescent="0.25">
      <c r="D37" s="39"/>
      <c r="U37" s="1"/>
      <c r="V37" s="7"/>
      <c r="Z37" s="7"/>
    </row>
    <row r="38" spans="1:26" ht="17" x14ac:dyDescent="0.25">
      <c r="B38" s="22">
        <v>5</v>
      </c>
      <c r="D38" s="23" t="s">
        <v>9</v>
      </c>
      <c r="U38" s="1"/>
      <c r="V38" s="7"/>
      <c r="Z38" s="7"/>
    </row>
    <row r="39" spans="1:26" ht="17" x14ac:dyDescent="0.25">
      <c r="D39" s="39"/>
      <c r="U39" s="1">
        <v>22</v>
      </c>
      <c r="V39" s="7" t="str">
        <f t="shared" ref="V39:V44" si="3">CONCATENATE(Y39,Z39)</f>
        <v>50RD50RM Neutrale belegger</v>
      </c>
      <c r="Y39" s="33" t="s">
        <v>109</v>
      </c>
      <c r="Z39" s="7" t="s">
        <v>23</v>
      </c>
    </row>
    <row r="40" spans="1:26" s="27" customFormat="1" ht="18" x14ac:dyDescent="0.2">
      <c r="B40" s="22">
        <v>5</v>
      </c>
      <c r="C40" s="48" t="s">
        <v>69</v>
      </c>
      <c r="D40" s="39" t="s">
        <v>27</v>
      </c>
      <c r="E40" s="31">
        <v>0</v>
      </c>
      <c r="F40" s="36">
        <f>IF($E40="X",+$H40,0)</f>
        <v>0</v>
      </c>
      <c r="G40" s="11"/>
      <c r="H40" s="37">
        <v>0</v>
      </c>
      <c r="I40" s="25"/>
      <c r="J40" s="39"/>
      <c r="K40" s="39"/>
      <c r="L40" s="39"/>
      <c r="M40" s="39"/>
      <c r="N40" s="39"/>
      <c r="O40" s="26"/>
      <c r="P40" s="26"/>
      <c r="Q40" s="25"/>
      <c r="R40" s="25"/>
      <c r="U40" s="1">
        <v>23</v>
      </c>
      <c r="V40" s="7" t="str">
        <f t="shared" si="3"/>
        <v>50RD50RM Neutrale belegger</v>
      </c>
      <c r="W40" s="35">
        <v>8</v>
      </c>
      <c r="Y40" s="33" t="s">
        <v>109</v>
      </c>
      <c r="Z40" s="7" t="s">
        <v>23</v>
      </c>
    </row>
    <row r="41" spans="1:26" ht="18" x14ac:dyDescent="0.25">
      <c r="B41" s="22">
        <v>5</v>
      </c>
      <c r="C41" s="48" t="s">
        <v>70</v>
      </c>
      <c r="D41" s="39" t="s">
        <v>28</v>
      </c>
      <c r="E41" s="31" t="s">
        <v>2</v>
      </c>
      <c r="F41" s="3">
        <f>IF($E41="X",+$H41,0)</f>
        <v>2</v>
      </c>
      <c r="H41" s="4">
        <v>2</v>
      </c>
      <c r="J41" s="12"/>
      <c r="K41" s="12"/>
      <c r="L41" s="12"/>
      <c r="M41" s="12"/>
      <c r="N41" s="12"/>
      <c r="U41" s="26">
        <v>24</v>
      </c>
      <c r="V41" s="7" t="str">
        <f t="shared" si="3"/>
        <v>50RD50RM Neutrale belegger</v>
      </c>
      <c r="W41" s="35" t="s">
        <v>26</v>
      </c>
      <c r="X41" s="5" t="s">
        <v>26</v>
      </c>
      <c r="Y41" s="33" t="s">
        <v>109</v>
      </c>
      <c r="Z41" s="28" t="s">
        <v>23</v>
      </c>
    </row>
    <row r="42" spans="1:26" ht="34" x14ac:dyDescent="0.25">
      <c r="B42" s="22">
        <v>5</v>
      </c>
      <c r="C42" s="48" t="s">
        <v>71</v>
      </c>
      <c r="D42" s="39" t="s">
        <v>29</v>
      </c>
      <c r="E42" s="31">
        <v>0</v>
      </c>
      <c r="F42" s="3">
        <f>IF($E42="X",+$H42,0)</f>
        <v>0</v>
      </c>
      <c r="H42" s="4">
        <v>4</v>
      </c>
      <c r="J42" s="12"/>
      <c r="K42" s="12"/>
      <c r="L42" s="12"/>
      <c r="M42" s="12"/>
      <c r="N42" s="12"/>
      <c r="U42" s="1">
        <v>25</v>
      </c>
      <c r="V42" s="7" t="str">
        <f t="shared" si="3"/>
        <v>50RD50RM Neutrale belegger</v>
      </c>
      <c r="W42" s="35" t="s">
        <v>26</v>
      </c>
      <c r="Y42" s="33" t="s">
        <v>109</v>
      </c>
      <c r="Z42" s="28" t="s">
        <v>23</v>
      </c>
    </row>
    <row r="43" spans="1:26" ht="18" x14ac:dyDescent="0.25">
      <c r="B43" s="22">
        <v>5</v>
      </c>
      <c r="C43" s="48" t="s">
        <v>72</v>
      </c>
      <c r="D43" s="39" t="s">
        <v>30</v>
      </c>
      <c r="E43" s="31">
        <v>0</v>
      </c>
      <c r="F43" s="3">
        <f>IF($E43="X",+$H43,0)</f>
        <v>0</v>
      </c>
      <c r="H43" s="4">
        <v>6</v>
      </c>
      <c r="J43" s="12"/>
      <c r="K43" s="12"/>
      <c r="L43" s="12"/>
      <c r="M43" s="12"/>
      <c r="N43" s="12"/>
      <c r="U43" s="1">
        <v>26</v>
      </c>
      <c r="V43" s="7" t="str">
        <f t="shared" si="3"/>
        <v>50RD50RM Neutrale belegger</v>
      </c>
      <c r="W43" s="35" t="s">
        <v>26</v>
      </c>
      <c r="Y43" s="33" t="s">
        <v>109</v>
      </c>
      <c r="Z43" s="28" t="s">
        <v>23</v>
      </c>
    </row>
    <row r="44" spans="1:26" ht="18" x14ac:dyDescent="0.25">
      <c r="B44" s="22">
        <v>5</v>
      </c>
      <c r="C44" s="48" t="s">
        <v>73</v>
      </c>
      <c r="D44" s="39" t="s">
        <v>39</v>
      </c>
      <c r="E44" s="31">
        <v>0</v>
      </c>
      <c r="F44" s="3">
        <f>IF($E44="X",+$H44,0)</f>
        <v>0</v>
      </c>
      <c r="H44" s="4">
        <v>8</v>
      </c>
      <c r="J44" s="12"/>
      <c r="K44" s="12"/>
      <c r="L44" s="12"/>
      <c r="M44" s="12"/>
      <c r="N44" s="12"/>
      <c r="U44" s="1">
        <v>27</v>
      </c>
      <c r="V44" s="7" t="str">
        <f t="shared" si="3"/>
        <v>60RD40RM Neutrale offensiefe belegger</v>
      </c>
      <c r="Y44" s="33" t="s">
        <v>110</v>
      </c>
      <c r="Z44" s="7" t="s">
        <v>46</v>
      </c>
    </row>
    <row r="45" spans="1:26" ht="17" x14ac:dyDescent="0.25">
      <c r="D45" s="39"/>
      <c r="E45" s="31"/>
      <c r="J45" s="12"/>
      <c r="K45" s="12"/>
      <c r="L45" s="12"/>
      <c r="M45" s="12"/>
      <c r="N45" s="12"/>
      <c r="U45" s="1"/>
      <c r="V45" s="7"/>
      <c r="Z45" s="7"/>
    </row>
    <row r="46" spans="1:26" ht="17" x14ac:dyDescent="0.25">
      <c r="D46" s="39"/>
      <c r="E46" s="31"/>
      <c r="J46" s="12"/>
      <c r="K46" s="12"/>
      <c r="L46" s="12"/>
      <c r="M46" s="12"/>
      <c r="N46" s="12"/>
      <c r="U46" s="1"/>
      <c r="V46" s="7"/>
      <c r="Z46" s="7"/>
    </row>
    <row r="47" spans="1:26" ht="18" x14ac:dyDescent="0.25">
      <c r="B47" s="22">
        <v>6</v>
      </c>
      <c r="D47" s="6" t="s">
        <v>10</v>
      </c>
      <c r="U47" s="1">
        <v>28</v>
      </c>
      <c r="V47" s="7" t="str">
        <f t="shared" ref="V47:V56" si="4">CONCATENATE(Y47,Z47)</f>
        <v>60RD40RM Neutrale offensiefe belegger</v>
      </c>
      <c r="Y47" s="33" t="s">
        <v>110</v>
      </c>
      <c r="Z47" s="7" t="s">
        <v>46</v>
      </c>
    </row>
    <row r="48" spans="1:26" ht="17" x14ac:dyDescent="0.25">
      <c r="D48" s="6"/>
      <c r="U48" s="1"/>
      <c r="V48" s="7"/>
      <c r="Z48" s="7"/>
    </row>
    <row r="49" spans="1:26" ht="19" x14ac:dyDescent="0.25">
      <c r="A49" s="5"/>
      <c r="B49" s="22">
        <v>6</v>
      </c>
      <c r="C49" s="51" t="s">
        <v>69</v>
      </c>
      <c r="D49" s="12" t="s">
        <v>114</v>
      </c>
      <c r="E49" s="8">
        <v>0</v>
      </c>
      <c r="F49" s="3">
        <f>IF($E49="X",+$H49,0)</f>
        <v>0</v>
      </c>
      <c r="H49" s="4">
        <v>3</v>
      </c>
      <c r="U49" s="1">
        <v>29</v>
      </c>
      <c r="V49" s="7" t="str">
        <f t="shared" si="4"/>
        <v>60RD40RM Neutrale offensiefe belegger</v>
      </c>
      <c r="Y49" s="33" t="s">
        <v>110</v>
      </c>
      <c r="Z49" s="7" t="s">
        <v>46</v>
      </c>
    </row>
    <row r="50" spans="1:26" ht="18" x14ac:dyDescent="0.25">
      <c r="B50" s="22">
        <v>6</v>
      </c>
      <c r="C50" s="48" t="s">
        <v>70</v>
      </c>
      <c r="D50" s="39" t="s">
        <v>115</v>
      </c>
      <c r="E50" s="8" t="s">
        <v>2</v>
      </c>
      <c r="F50" s="3">
        <f>IF($E50="X",+$H50,0)</f>
        <v>2</v>
      </c>
      <c r="H50" s="4">
        <v>2</v>
      </c>
      <c r="U50" s="1">
        <v>30</v>
      </c>
      <c r="V50" s="7" t="str">
        <f t="shared" si="4"/>
        <v>60RD40RM Neutrale offensiefe belegger</v>
      </c>
      <c r="Y50" s="33" t="s">
        <v>110</v>
      </c>
      <c r="Z50" s="7" t="s">
        <v>46</v>
      </c>
    </row>
    <row r="51" spans="1:26" ht="18" x14ac:dyDescent="0.25">
      <c r="B51" s="22">
        <v>6</v>
      </c>
      <c r="C51" s="48" t="s">
        <v>71</v>
      </c>
      <c r="D51" s="39" t="s">
        <v>116</v>
      </c>
      <c r="E51" s="8">
        <v>0</v>
      </c>
      <c r="F51" s="3">
        <f>IF($E51="X",+$H51,0)</f>
        <v>0</v>
      </c>
      <c r="H51" s="4">
        <v>1</v>
      </c>
      <c r="U51" s="1">
        <v>31</v>
      </c>
      <c r="V51" s="7" t="str">
        <f t="shared" si="4"/>
        <v>60RD40RM Neutrale offensiefe belegger</v>
      </c>
      <c r="W51" s="35">
        <v>6</v>
      </c>
      <c r="Y51" s="33" t="s">
        <v>110</v>
      </c>
      <c r="Z51" s="7" t="s">
        <v>46</v>
      </c>
    </row>
    <row r="52" spans="1:26" ht="18" x14ac:dyDescent="0.25">
      <c r="B52" s="22">
        <v>6</v>
      </c>
      <c r="C52" s="48" t="s">
        <v>72</v>
      </c>
      <c r="D52" s="39" t="s">
        <v>11</v>
      </c>
      <c r="E52" s="8">
        <v>0</v>
      </c>
      <c r="F52" s="3">
        <f>IF($E52="X",+$H52,0)</f>
        <v>0</v>
      </c>
      <c r="H52" s="4">
        <v>0</v>
      </c>
      <c r="U52" s="1">
        <v>32</v>
      </c>
      <c r="V52" s="7" t="str">
        <f t="shared" si="4"/>
        <v>60RD40RM Neutrale offensiefe belegger</v>
      </c>
      <c r="Y52" s="33" t="s">
        <v>110</v>
      </c>
      <c r="Z52" s="7" t="s">
        <v>46</v>
      </c>
    </row>
    <row r="53" spans="1:26" ht="17" x14ac:dyDescent="0.25">
      <c r="B53" s="24"/>
      <c r="C53" s="52"/>
      <c r="D53" s="8"/>
      <c r="E53" s="9"/>
      <c r="G53" s="10"/>
      <c r="H53"/>
      <c r="I53" s="1"/>
      <c r="P53"/>
      <c r="R53" s="5"/>
      <c r="T53" s="1"/>
      <c r="U53" s="7"/>
      <c r="V53" s="35"/>
      <c r="W53" s="5"/>
      <c r="X53" s="33"/>
      <c r="Y53" s="5"/>
      <c r="Z53" s="35"/>
    </row>
    <row r="54" spans="1:26" ht="18" x14ac:dyDescent="0.25">
      <c r="B54" s="22">
        <v>7</v>
      </c>
      <c r="D54" s="6" t="s">
        <v>12</v>
      </c>
      <c r="U54" s="1">
        <v>33</v>
      </c>
      <c r="V54" s="7" t="str">
        <f t="shared" si="4"/>
        <v>70RD30RM Gematigd Offensieve belegger</v>
      </c>
      <c r="Y54" s="33" t="s">
        <v>111</v>
      </c>
      <c r="Z54" s="7" t="s">
        <v>24</v>
      </c>
    </row>
    <row r="55" spans="1:26" ht="17" x14ac:dyDescent="0.25">
      <c r="B55" s="22">
        <v>7</v>
      </c>
      <c r="D55" s="6"/>
      <c r="U55" s="1"/>
      <c r="V55" s="7"/>
      <c r="Z55" s="7"/>
    </row>
    <row r="56" spans="1:26" ht="19" x14ac:dyDescent="0.25">
      <c r="A56" s="5"/>
      <c r="B56" s="22">
        <v>7</v>
      </c>
      <c r="C56" s="51" t="s">
        <v>69</v>
      </c>
      <c r="D56" s="12" t="s">
        <v>82</v>
      </c>
      <c r="E56" s="8">
        <v>0</v>
      </c>
      <c r="F56" s="3">
        <f>IF($E56="X",+$H56,0)</f>
        <v>0</v>
      </c>
      <c r="H56" s="4">
        <v>0</v>
      </c>
      <c r="U56" s="1">
        <v>34</v>
      </c>
      <c r="V56" s="7" t="str">
        <f t="shared" si="4"/>
        <v>70RD30RM Gematigd Offensieve belegger</v>
      </c>
      <c r="Y56" s="33" t="s">
        <v>111</v>
      </c>
      <c r="Z56" s="7" t="s">
        <v>24</v>
      </c>
    </row>
    <row r="57" spans="1:26" ht="18" x14ac:dyDescent="0.25">
      <c r="B57" s="22">
        <v>7</v>
      </c>
      <c r="C57" s="48" t="s">
        <v>70</v>
      </c>
      <c r="D57" s="39" t="s">
        <v>83</v>
      </c>
      <c r="E57" s="8">
        <v>0</v>
      </c>
      <c r="F57" s="3">
        <f>IF($E57="X",+$H57,0)</f>
        <v>0</v>
      </c>
      <c r="H57" s="4">
        <v>1</v>
      </c>
      <c r="U57" s="1">
        <v>35</v>
      </c>
      <c r="V57" s="7" t="str">
        <f t="shared" ref="V57:V71" si="5">CONCATENATE(Y57,Z57)</f>
        <v>70RD30RM Gematigd Offensieve belegger</v>
      </c>
      <c r="Y57" s="33" t="s">
        <v>111</v>
      </c>
      <c r="Z57" s="7" t="s">
        <v>24</v>
      </c>
    </row>
    <row r="58" spans="1:26" ht="18" x14ac:dyDescent="0.25">
      <c r="B58" s="22">
        <v>7</v>
      </c>
      <c r="C58" s="48" t="s">
        <v>71</v>
      </c>
      <c r="D58" s="39" t="s">
        <v>84</v>
      </c>
      <c r="E58" s="8" t="s">
        <v>2</v>
      </c>
      <c r="F58" s="3">
        <f>IF($E58="X",+$H58,0)</f>
        <v>2</v>
      </c>
      <c r="H58" s="4">
        <v>2</v>
      </c>
      <c r="U58" s="1">
        <v>36</v>
      </c>
      <c r="V58" s="7" t="str">
        <f t="shared" si="5"/>
        <v>70RD30RM Gematigd Offensieve belegger</v>
      </c>
      <c r="W58" s="35">
        <v>4</v>
      </c>
      <c r="Y58" s="33" t="s">
        <v>111</v>
      </c>
      <c r="Z58" s="7" t="s">
        <v>24</v>
      </c>
    </row>
    <row r="59" spans="1:26" ht="18" x14ac:dyDescent="0.25">
      <c r="B59" s="22">
        <v>7</v>
      </c>
      <c r="C59" s="48" t="s">
        <v>72</v>
      </c>
      <c r="D59" s="39" t="s">
        <v>85</v>
      </c>
      <c r="E59" s="8">
        <v>0</v>
      </c>
      <c r="F59" s="3">
        <f>IF($E59="X",+$H59,0)</f>
        <v>0</v>
      </c>
      <c r="H59" s="4">
        <v>3</v>
      </c>
      <c r="U59" s="1">
        <v>37</v>
      </c>
      <c r="V59" s="7" t="str">
        <f t="shared" si="5"/>
        <v>80RD20RM Offensieve belegger</v>
      </c>
      <c r="Y59" s="33" t="s">
        <v>112</v>
      </c>
      <c r="Z59" s="7" t="s">
        <v>25</v>
      </c>
    </row>
    <row r="60" spans="1:26" ht="17" x14ac:dyDescent="0.25">
      <c r="D60" s="39"/>
      <c r="U60" s="1"/>
      <c r="V60" s="7"/>
      <c r="Z60" s="7"/>
    </row>
    <row r="61" spans="1:26" ht="18" x14ac:dyDescent="0.25">
      <c r="B61" s="22">
        <v>8</v>
      </c>
      <c r="D61" s="6" t="s">
        <v>31</v>
      </c>
      <c r="U61" s="1">
        <v>38</v>
      </c>
      <c r="V61" s="7" t="str">
        <f t="shared" si="5"/>
        <v>80RD20RM Offensieve belegger</v>
      </c>
      <c r="Y61" s="33" t="s">
        <v>112</v>
      </c>
      <c r="Z61" s="7" t="s">
        <v>25</v>
      </c>
    </row>
    <row r="62" spans="1:26" ht="17" x14ac:dyDescent="0.25">
      <c r="D62" s="6"/>
      <c r="U62" s="1"/>
      <c r="V62" s="7"/>
      <c r="Z62" s="7"/>
    </row>
    <row r="63" spans="1:26" ht="19" x14ac:dyDescent="0.25">
      <c r="A63" s="5"/>
      <c r="B63" s="22">
        <v>8</v>
      </c>
      <c r="C63" s="51" t="s">
        <v>69</v>
      </c>
      <c r="D63" s="12" t="s">
        <v>86</v>
      </c>
      <c r="E63" s="8" t="s">
        <v>2</v>
      </c>
      <c r="F63" s="3">
        <f>IF($E63="X",+$H63,0)</f>
        <v>0</v>
      </c>
      <c r="H63" s="4">
        <v>0</v>
      </c>
      <c r="U63" s="1">
        <v>39</v>
      </c>
      <c r="V63" s="7" t="str">
        <f t="shared" si="5"/>
        <v>80RD20RM Offensieve belegger</v>
      </c>
      <c r="Y63" s="33" t="s">
        <v>112</v>
      </c>
      <c r="Z63" s="7" t="s">
        <v>25</v>
      </c>
    </row>
    <row r="64" spans="1:26" ht="18" x14ac:dyDescent="0.25">
      <c r="B64" s="22">
        <v>8</v>
      </c>
      <c r="C64" s="48" t="s">
        <v>70</v>
      </c>
      <c r="D64" s="39" t="s">
        <v>13</v>
      </c>
      <c r="E64" s="8">
        <v>0</v>
      </c>
      <c r="F64" s="3">
        <f>IF($E64="X",+$H64,0)</f>
        <v>0</v>
      </c>
      <c r="H64" s="4">
        <v>1</v>
      </c>
      <c r="U64" s="1">
        <v>40</v>
      </c>
      <c r="V64" s="7" t="str">
        <f t="shared" si="5"/>
        <v>80RD20RM Offensieve belegger</v>
      </c>
      <c r="Y64" s="33" t="s">
        <v>112</v>
      </c>
      <c r="Z64" s="7" t="s">
        <v>25</v>
      </c>
    </row>
    <row r="65" spans="1:26" ht="18" x14ac:dyDescent="0.25">
      <c r="B65" s="22">
        <v>8</v>
      </c>
      <c r="C65" s="48" t="s">
        <v>71</v>
      </c>
      <c r="D65" s="39" t="s">
        <v>14</v>
      </c>
      <c r="E65" s="8">
        <v>0</v>
      </c>
      <c r="F65" s="3">
        <f>IF($E65="X",+$H65,0)</f>
        <v>0</v>
      </c>
      <c r="H65" s="4">
        <v>2</v>
      </c>
      <c r="U65" s="1">
        <v>41</v>
      </c>
      <c r="V65" s="7" t="str">
        <f t="shared" si="5"/>
        <v>80RD20RM Offensieve belegger</v>
      </c>
      <c r="W65" s="35">
        <v>6</v>
      </c>
      <c r="Y65" s="33" t="s">
        <v>112</v>
      </c>
      <c r="Z65" s="7" t="s">
        <v>25</v>
      </c>
    </row>
    <row r="66" spans="1:26" ht="18" x14ac:dyDescent="0.25">
      <c r="B66" s="22">
        <v>8</v>
      </c>
      <c r="C66" s="48" t="s">
        <v>72</v>
      </c>
      <c r="D66" s="39" t="s">
        <v>87</v>
      </c>
      <c r="E66" s="8">
        <v>0</v>
      </c>
      <c r="F66" s="3">
        <f>IF($E66="X",+$H66,0)</f>
        <v>0</v>
      </c>
      <c r="H66" s="4">
        <v>3</v>
      </c>
      <c r="U66" s="1">
        <v>42</v>
      </c>
      <c r="V66" s="7" t="str">
        <f t="shared" si="5"/>
        <v>80RD20RM Offensieve belegger</v>
      </c>
      <c r="Y66" s="33" t="s">
        <v>112</v>
      </c>
      <c r="Z66" s="7" t="s">
        <v>25</v>
      </c>
    </row>
    <row r="67" spans="1:26" ht="17" x14ac:dyDescent="0.25">
      <c r="D67" s="39"/>
      <c r="F67" s="3"/>
      <c r="H67" s="4"/>
      <c r="U67" s="1"/>
      <c r="V67" s="7"/>
      <c r="Z67" s="7"/>
    </row>
    <row r="68" spans="1:26" ht="18" x14ac:dyDescent="0.25">
      <c r="B68" s="22">
        <v>9</v>
      </c>
      <c r="D68" s="6" t="s">
        <v>15</v>
      </c>
      <c r="U68" s="1">
        <v>43</v>
      </c>
      <c r="V68" s="7" t="str">
        <f t="shared" si="5"/>
        <v>100RD zeer offensieve belegger</v>
      </c>
      <c r="Y68" s="33" t="s">
        <v>113</v>
      </c>
      <c r="Z68" s="7" t="s">
        <v>47</v>
      </c>
    </row>
    <row r="69" spans="1:26" ht="17" x14ac:dyDescent="0.25">
      <c r="D69" s="6"/>
      <c r="U69" s="1"/>
      <c r="V69" s="7"/>
      <c r="Z69" s="7"/>
    </row>
    <row r="70" spans="1:26" ht="19" x14ac:dyDescent="0.25">
      <c r="A70" s="5"/>
      <c r="B70" s="22">
        <v>9</v>
      </c>
      <c r="C70" s="51" t="s">
        <v>69</v>
      </c>
      <c r="D70" s="12" t="s">
        <v>88</v>
      </c>
      <c r="E70" s="8">
        <v>0</v>
      </c>
      <c r="F70" s="3">
        <f>IF($E70="X",+$H70,0)</f>
        <v>0</v>
      </c>
      <c r="H70" s="4">
        <v>0</v>
      </c>
      <c r="U70" s="1">
        <v>44</v>
      </c>
      <c r="V70" s="7" t="str">
        <f t="shared" si="5"/>
        <v>100RD zeer offensieve belegger</v>
      </c>
      <c r="W70" s="35">
        <v>3</v>
      </c>
      <c r="Y70" s="33" t="s">
        <v>113</v>
      </c>
      <c r="Z70" s="7" t="s">
        <v>47</v>
      </c>
    </row>
    <row r="71" spans="1:26" ht="18" x14ac:dyDescent="0.25">
      <c r="B71" s="22">
        <v>9</v>
      </c>
      <c r="C71" s="48" t="s">
        <v>70</v>
      </c>
      <c r="D71" s="39" t="s">
        <v>89</v>
      </c>
      <c r="E71" s="8">
        <v>0</v>
      </c>
      <c r="F71" s="3">
        <f>IF($E71="X",+$H71,0)</f>
        <v>0</v>
      </c>
      <c r="H71" s="4">
        <v>3</v>
      </c>
      <c r="U71" s="1">
        <v>45</v>
      </c>
      <c r="V71" s="7" t="str">
        <f t="shared" si="5"/>
        <v>100RD zeer offensieve belegger</v>
      </c>
      <c r="Y71" s="33" t="s">
        <v>113</v>
      </c>
      <c r="Z71" s="7" t="s">
        <v>47</v>
      </c>
    </row>
    <row r="72" spans="1:26" ht="18" x14ac:dyDescent="0.25">
      <c r="B72" s="22">
        <v>9</v>
      </c>
      <c r="C72" s="48" t="s">
        <v>71</v>
      </c>
      <c r="D72" s="39" t="s">
        <v>90</v>
      </c>
      <c r="E72" s="8">
        <v>0</v>
      </c>
      <c r="F72" s="3">
        <f>IF($E72="X",+$H72,0)</f>
        <v>0</v>
      </c>
      <c r="H72" s="4">
        <v>2</v>
      </c>
      <c r="U72" s="1"/>
      <c r="V72" s="7"/>
      <c r="Z72" s="7"/>
    </row>
    <row r="73" spans="1:26" ht="18" x14ac:dyDescent="0.25">
      <c r="B73" s="22">
        <v>9</v>
      </c>
      <c r="C73" s="48" t="s">
        <v>72</v>
      </c>
      <c r="D73" s="39" t="s">
        <v>91</v>
      </c>
      <c r="E73" s="8" t="s">
        <v>2</v>
      </c>
      <c r="F73" s="3">
        <f>IF($E73="X",+$H73,0)</f>
        <v>1</v>
      </c>
      <c r="H73" s="4">
        <v>1</v>
      </c>
      <c r="U73" s="2" t="s">
        <v>2</v>
      </c>
      <c r="V73" s="7"/>
      <c r="Z73" s="7"/>
    </row>
    <row r="74" spans="1:26" ht="17" x14ac:dyDescent="0.25">
      <c r="D74" s="39"/>
      <c r="U74" s="2"/>
      <c r="V74" s="7"/>
      <c r="Z74" s="7"/>
    </row>
    <row r="75" spans="1:26" ht="18" x14ac:dyDescent="0.25">
      <c r="B75" s="22">
        <v>10</v>
      </c>
      <c r="D75" s="6" t="s">
        <v>16</v>
      </c>
      <c r="U75" s="2">
        <v>0</v>
      </c>
      <c r="V75" s="7"/>
      <c r="Z75" s="7"/>
    </row>
    <row r="76" spans="1:26" ht="17" x14ac:dyDescent="0.25">
      <c r="D76" s="6"/>
      <c r="U76" s="2"/>
      <c r="V76" s="7"/>
      <c r="Z76" s="7"/>
    </row>
    <row r="77" spans="1:26" ht="19" x14ac:dyDescent="0.25">
      <c r="A77" s="5"/>
      <c r="B77" s="22">
        <v>10</v>
      </c>
      <c r="C77" s="51" t="s">
        <v>69</v>
      </c>
      <c r="D77" s="12" t="s">
        <v>103</v>
      </c>
      <c r="E77" s="8">
        <v>0</v>
      </c>
      <c r="F77" s="3">
        <f t="shared" ref="F77:F81" si="6">IF($E77="X",+$H77,0)</f>
        <v>0</v>
      </c>
      <c r="H77" s="4">
        <v>0</v>
      </c>
      <c r="V77" s="21" t="s">
        <v>67</v>
      </c>
      <c r="W77" s="35">
        <f>SUM(W8:W70)</f>
        <v>46</v>
      </c>
      <c r="Z77" s="21" t="s">
        <v>67</v>
      </c>
    </row>
    <row r="78" spans="1:26" ht="18" x14ac:dyDescent="0.25">
      <c r="B78" s="22">
        <v>10</v>
      </c>
      <c r="C78" s="48" t="s">
        <v>70</v>
      </c>
      <c r="D78" s="12" t="s">
        <v>104</v>
      </c>
      <c r="E78" s="8">
        <v>0</v>
      </c>
      <c r="F78" s="3">
        <f t="shared" si="6"/>
        <v>0</v>
      </c>
      <c r="H78" s="4">
        <v>0</v>
      </c>
    </row>
    <row r="79" spans="1:26" ht="18" x14ac:dyDescent="0.25">
      <c r="B79" s="22">
        <v>10</v>
      </c>
      <c r="C79" s="48" t="s">
        <v>71</v>
      </c>
      <c r="D79" s="39" t="s">
        <v>92</v>
      </c>
      <c r="E79" s="8">
        <v>0</v>
      </c>
      <c r="F79" s="3">
        <f t="shared" si="6"/>
        <v>0</v>
      </c>
      <c r="H79" s="4">
        <v>2</v>
      </c>
    </row>
    <row r="80" spans="1:26" ht="18" x14ac:dyDescent="0.25">
      <c r="B80" s="22">
        <v>10</v>
      </c>
      <c r="C80" s="48" t="s">
        <v>72</v>
      </c>
      <c r="D80" s="39" t="s">
        <v>93</v>
      </c>
      <c r="E80" s="8" t="s">
        <v>2</v>
      </c>
      <c r="F80" s="3">
        <f t="shared" si="6"/>
        <v>4</v>
      </c>
      <c r="H80" s="4">
        <v>4</v>
      </c>
    </row>
    <row r="81" spans="1:8" ht="18" x14ac:dyDescent="0.25">
      <c r="B81" s="22">
        <v>10</v>
      </c>
      <c r="C81" s="48" t="s">
        <v>73</v>
      </c>
      <c r="D81" s="39" t="s">
        <v>94</v>
      </c>
      <c r="E81" s="8">
        <v>0</v>
      </c>
      <c r="F81" s="3">
        <f t="shared" si="6"/>
        <v>0</v>
      </c>
      <c r="H81" s="4">
        <v>6</v>
      </c>
    </row>
    <row r="82" spans="1:8" ht="17" x14ac:dyDescent="0.25">
      <c r="D82" s="39"/>
    </row>
    <row r="83" spans="1:8" ht="18" x14ac:dyDescent="0.25">
      <c r="B83" s="22">
        <v>11</v>
      </c>
      <c r="D83" s="6" t="s">
        <v>17</v>
      </c>
    </row>
    <row r="84" spans="1:8" ht="17" x14ac:dyDescent="0.25">
      <c r="D84" s="6"/>
    </row>
    <row r="85" spans="1:8" ht="18" x14ac:dyDescent="0.25">
      <c r="A85" s="5"/>
      <c r="B85" s="22">
        <v>11</v>
      </c>
      <c r="C85" s="48" t="s">
        <v>69</v>
      </c>
      <c r="D85" s="39" t="s">
        <v>95</v>
      </c>
      <c r="E85" s="8">
        <v>0</v>
      </c>
      <c r="F85" s="3">
        <f>IF($E85="X",+$H85,0)</f>
        <v>0</v>
      </c>
      <c r="H85" s="4">
        <v>6</v>
      </c>
    </row>
    <row r="86" spans="1:8" ht="18" x14ac:dyDescent="0.25">
      <c r="B86" s="22">
        <v>11</v>
      </c>
      <c r="C86" s="48" t="s">
        <v>70</v>
      </c>
      <c r="D86" s="39" t="s">
        <v>96</v>
      </c>
      <c r="E86" s="8">
        <v>0</v>
      </c>
      <c r="F86" s="3">
        <f>IF($E86="X",+$H86,0)</f>
        <v>0</v>
      </c>
      <c r="H86" s="4">
        <v>4</v>
      </c>
    </row>
    <row r="87" spans="1:8" ht="18" x14ac:dyDescent="0.25">
      <c r="B87" s="22">
        <v>11</v>
      </c>
      <c r="C87" s="48" t="s">
        <v>71</v>
      </c>
      <c r="D87" s="39" t="s">
        <v>97</v>
      </c>
      <c r="E87" s="8" t="s">
        <v>2</v>
      </c>
      <c r="F87" s="3">
        <f>IF($E87="X",+$H87,0)</f>
        <v>2</v>
      </c>
      <c r="H87" s="4">
        <v>2</v>
      </c>
    </row>
    <row r="88" spans="1:8" ht="18" x14ac:dyDescent="0.25">
      <c r="B88" s="22">
        <v>11</v>
      </c>
      <c r="C88" s="48" t="s">
        <v>72</v>
      </c>
      <c r="D88" s="39" t="s">
        <v>98</v>
      </c>
      <c r="E88" s="8">
        <v>0</v>
      </c>
      <c r="F88" s="3">
        <f>IF($E88="X",+$H88,0)</f>
        <v>0</v>
      </c>
      <c r="H88" s="4">
        <v>0</v>
      </c>
    </row>
    <row r="89" spans="1:8" ht="17" x14ac:dyDescent="0.25">
      <c r="D89" s="39"/>
    </row>
    <row r="90" spans="1:8" ht="17" x14ac:dyDescent="0.25">
      <c r="D90" s="39"/>
    </row>
    <row r="91" spans="1:8" ht="20" x14ac:dyDescent="0.25">
      <c r="D91" s="47" t="s">
        <v>99</v>
      </c>
    </row>
    <row r="92" spans="1:8" ht="17" x14ac:dyDescent="0.25">
      <c r="D92" s="30"/>
    </row>
    <row r="93" spans="1:8" ht="18" x14ac:dyDescent="0.25">
      <c r="B93" s="22">
        <v>12</v>
      </c>
      <c r="D93" s="6" t="s">
        <v>18</v>
      </c>
    </row>
    <row r="94" spans="1:8" ht="17" x14ac:dyDescent="0.25">
      <c r="D94" s="6"/>
    </row>
    <row r="95" spans="1:8" ht="18" x14ac:dyDescent="0.25">
      <c r="A95" s="5"/>
      <c r="C95" s="48" t="s">
        <v>69</v>
      </c>
      <c r="D95" s="39" t="s">
        <v>117</v>
      </c>
      <c r="E95" s="8">
        <v>0</v>
      </c>
    </row>
    <row r="96" spans="1:8" ht="18" x14ac:dyDescent="0.25">
      <c r="C96" s="48" t="s">
        <v>70</v>
      </c>
      <c r="D96" s="39" t="s">
        <v>118</v>
      </c>
      <c r="E96" s="8">
        <v>0</v>
      </c>
    </row>
    <row r="97" spans="1:25" ht="18" x14ac:dyDescent="0.25">
      <c r="C97" s="48" t="s">
        <v>71</v>
      </c>
      <c r="D97" s="39" t="s">
        <v>100</v>
      </c>
      <c r="E97" s="8">
        <v>0</v>
      </c>
    </row>
    <row r="98" spans="1:25" ht="18" x14ac:dyDescent="0.25">
      <c r="C98" s="48" t="s">
        <v>72</v>
      </c>
      <c r="D98" s="39" t="s">
        <v>101</v>
      </c>
      <c r="E98" s="8">
        <v>0</v>
      </c>
    </row>
    <row r="99" spans="1:25" ht="18" x14ac:dyDescent="0.25">
      <c r="C99" s="48" t="s">
        <v>73</v>
      </c>
      <c r="D99" s="39" t="s">
        <v>119</v>
      </c>
      <c r="E99" s="8" t="s">
        <v>120</v>
      </c>
    </row>
    <row r="100" spans="1:25" ht="18.75" customHeight="1" x14ac:dyDescent="0.25">
      <c r="D100" s="29"/>
      <c r="J100" s="2"/>
      <c r="K100" s="2"/>
      <c r="L100" s="2"/>
      <c r="M100" s="2"/>
      <c r="N100" s="2"/>
    </row>
    <row r="101" spans="1:25" s="20" customFormat="1" ht="21" x14ac:dyDescent="0.25">
      <c r="A101" s="22"/>
      <c r="B101" s="22"/>
      <c r="C101" s="53"/>
      <c r="D101" s="16" t="s">
        <v>19</v>
      </c>
      <c r="E101" s="46"/>
      <c r="F101" s="17"/>
      <c r="G101" s="17"/>
      <c r="H101" s="18"/>
      <c r="I101" s="38"/>
      <c r="J101" s="11"/>
      <c r="K101" s="11"/>
      <c r="L101" s="11"/>
      <c r="M101" s="11"/>
      <c r="N101" s="11"/>
      <c r="O101" s="19"/>
      <c r="P101" s="19"/>
      <c r="Q101" s="38"/>
      <c r="R101" s="38"/>
      <c r="W101" s="35"/>
      <c r="Y101" s="34"/>
    </row>
    <row r="102" spans="1:25" s="20" customFormat="1" ht="20" x14ac:dyDescent="0.25">
      <c r="A102" s="22"/>
      <c r="B102" s="22"/>
      <c r="C102" s="53"/>
      <c r="D102" s="40" t="str">
        <f>VLOOKUP(E102,'Risicoprofiel bepalen - bron'!U8:V71,2,TRUE)</f>
        <v>50RD50RM Neutrale belegger</v>
      </c>
      <c r="E102" s="41">
        <f>SUM(F8:F99)</f>
        <v>19</v>
      </c>
      <c r="F102" s="17"/>
      <c r="G102" s="17"/>
      <c r="H102" s="18"/>
      <c r="I102" s="38"/>
      <c r="J102" s="11"/>
      <c r="K102" s="11"/>
      <c r="L102" s="11"/>
      <c r="M102" s="11"/>
      <c r="N102" s="11"/>
      <c r="O102" s="19"/>
      <c r="P102" s="19"/>
      <c r="Q102" s="38"/>
      <c r="R102" s="38"/>
      <c r="W102" s="35"/>
      <c r="Y102" s="34"/>
    </row>
    <row r="103" spans="1:25" ht="44.25" customHeight="1" x14ac:dyDescent="0.2">
      <c r="C103" s="49"/>
      <c r="D103" s="6" t="s">
        <v>20</v>
      </c>
      <c r="E103" s="22"/>
      <c r="I103" s="5"/>
      <c r="J103" s="9"/>
      <c r="K103" s="9"/>
      <c r="L103" s="9"/>
      <c r="M103" s="9"/>
      <c r="N103" s="9"/>
      <c r="Q103" s="5"/>
      <c r="R103" s="5"/>
    </row>
    <row r="104" spans="1:25" ht="20.25" customHeight="1" x14ac:dyDescent="0.2">
      <c r="C104" s="49"/>
      <c r="D104" s="6"/>
      <c r="E104" s="22"/>
      <c r="F104" s="43"/>
      <c r="I104" s="5"/>
      <c r="J104" s="9"/>
      <c r="K104" s="9"/>
      <c r="L104" s="9"/>
      <c r="M104" s="9"/>
      <c r="N104" s="9"/>
      <c r="Q104" s="5"/>
      <c r="R104" s="5"/>
    </row>
    <row r="105" spans="1:25" ht="21" customHeight="1" x14ac:dyDescent="0.25">
      <c r="C105" s="49"/>
      <c r="D105" s="15" t="s">
        <v>59</v>
      </c>
      <c r="E105" s="91" t="s">
        <v>49</v>
      </c>
      <c r="F105" s="91"/>
      <c r="J105" s="2"/>
      <c r="K105" s="2"/>
      <c r="L105" s="2"/>
      <c r="M105" s="2"/>
      <c r="N105" s="2"/>
      <c r="O105" s="2"/>
    </row>
    <row r="106" spans="1:25" ht="20.25" customHeight="1" x14ac:dyDescent="0.2">
      <c r="C106" s="49"/>
      <c r="D106" s="12"/>
      <c r="E106" s="44"/>
      <c r="F106" s="5"/>
      <c r="I106" s="5"/>
      <c r="J106" s="9"/>
      <c r="K106" s="9"/>
      <c r="L106" s="9"/>
      <c r="M106" s="9"/>
      <c r="N106" s="9"/>
      <c r="Q106" s="5"/>
      <c r="R106" s="5"/>
    </row>
    <row r="107" spans="1:25" ht="21" customHeight="1" x14ac:dyDescent="0.25">
      <c r="C107" s="49"/>
      <c r="D107" s="15" t="s">
        <v>58</v>
      </c>
      <c r="E107" s="91" t="s">
        <v>50</v>
      </c>
      <c r="F107" s="91"/>
      <c r="J107" s="2"/>
      <c r="K107" s="2"/>
      <c r="L107" s="2"/>
      <c r="M107" s="2"/>
      <c r="N107" s="2"/>
      <c r="O107" s="2"/>
    </row>
    <row r="108" spans="1:25" ht="21" customHeight="1" x14ac:dyDescent="0.25">
      <c r="C108" s="49"/>
      <c r="D108" s="12"/>
      <c r="E108" s="45"/>
      <c r="F108" s="5"/>
      <c r="J108" s="2"/>
      <c r="K108" s="2"/>
      <c r="L108" s="2"/>
      <c r="M108" s="2"/>
      <c r="N108" s="9"/>
      <c r="O108" s="9"/>
    </row>
    <row r="109" spans="1:25" ht="21" customHeight="1" x14ac:dyDescent="0.25">
      <c r="A109" s="29"/>
      <c r="B109" s="29"/>
      <c r="C109" s="49"/>
      <c r="D109" s="15" t="s">
        <v>57</v>
      </c>
      <c r="E109" s="91" t="s">
        <v>51</v>
      </c>
      <c r="F109" s="91"/>
      <c r="G109" s="13"/>
      <c r="N109" s="9"/>
      <c r="O109" s="9"/>
    </row>
    <row r="110" spans="1:25" ht="21" customHeight="1" x14ac:dyDescent="0.25">
      <c r="A110" s="29"/>
      <c r="B110" s="29"/>
      <c r="C110" s="49"/>
      <c r="D110" s="12"/>
      <c r="E110" s="45"/>
      <c r="F110" s="5"/>
      <c r="G110" s="13"/>
      <c r="J110" s="2"/>
      <c r="K110" s="2"/>
      <c r="L110" s="2"/>
      <c r="M110" s="2"/>
      <c r="N110" s="9"/>
      <c r="O110" s="9"/>
    </row>
    <row r="111" spans="1:25" ht="21" customHeight="1" x14ac:dyDescent="0.25">
      <c r="A111" s="29"/>
      <c r="B111" s="29"/>
      <c r="C111" s="49"/>
      <c r="D111" s="15" t="s">
        <v>56</v>
      </c>
      <c r="E111" s="91" t="s">
        <v>54</v>
      </c>
      <c r="F111" s="91"/>
      <c r="G111" s="13"/>
      <c r="N111" s="9"/>
      <c r="O111" s="9"/>
    </row>
    <row r="112" spans="1:25" ht="21" customHeight="1" x14ac:dyDescent="0.25">
      <c r="A112" s="29"/>
      <c r="B112" s="29"/>
      <c r="C112" s="49"/>
      <c r="D112" s="12"/>
      <c r="E112" s="45"/>
      <c r="F112" s="5"/>
      <c r="G112" s="13"/>
      <c r="J112" s="2"/>
      <c r="K112" s="2"/>
      <c r="L112" s="2"/>
      <c r="M112" s="2"/>
      <c r="N112" s="9"/>
      <c r="O112" s="9"/>
    </row>
    <row r="113" spans="1:15" ht="21" customHeight="1" x14ac:dyDescent="0.25">
      <c r="A113" s="29"/>
      <c r="B113" s="29"/>
      <c r="C113" s="49"/>
      <c r="D113" s="15" t="s">
        <v>52</v>
      </c>
      <c r="E113" s="91" t="s">
        <v>53</v>
      </c>
      <c r="F113" s="91"/>
      <c r="G113" s="13"/>
    </row>
    <row r="114" spans="1:15" ht="21" customHeight="1" x14ac:dyDescent="0.25">
      <c r="A114" s="29"/>
      <c r="B114" s="29"/>
      <c r="C114" s="49"/>
      <c r="D114" s="12"/>
      <c r="E114" s="45"/>
      <c r="F114" s="5"/>
      <c r="G114" s="13"/>
      <c r="N114" s="9"/>
      <c r="O114" s="9"/>
    </row>
    <row r="115" spans="1:15" ht="21" customHeight="1" x14ac:dyDescent="0.25">
      <c r="A115" s="29"/>
      <c r="B115" s="29"/>
      <c r="C115" s="49"/>
      <c r="D115" s="15" t="s">
        <v>55</v>
      </c>
      <c r="E115" s="91" t="s">
        <v>60</v>
      </c>
      <c r="F115" s="91"/>
      <c r="G115" s="13"/>
    </row>
    <row r="116" spans="1:15" ht="21" customHeight="1" x14ac:dyDescent="0.25">
      <c r="A116" s="29"/>
      <c r="B116" s="29"/>
      <c r="C116" s="49"/>
      <c r="D116" s="12"/>
      <c r="E116" s="45"/>
      <c r="F116" s="5"/>
      <c r="G116" s="13"/>
      <c r="N116" s="9"/>
      <c r="O116" s="9"/>
    </row>
    <row r="117" spans="1:15" ht="21" customHeight="1" x14ac:dyDescent="0.25">
      <c r="A117" s="29"/>
      <c r="B117" s="29"/>
      <c r="C117" s="49"/>
      <c r="D117" s="15" t="s">
        <v>61</v>
      </c>
      <c r="E117" s="91" t="s">
        <v>62</v>
      </c>
      <c r="F117" s="91"/>
      <c r="G117" s="13"/>
    </row>
    <row r="118" spans="1:15" ht="21" customHeight="1" x14ac:dyDescent="0.25">
      <c r="A118" s="29"/>
      <c r="B118" s="29"/>
      <c r="C118" s="49"/>
      <c r="D118" s="12"/>
      <c r="E118" s="45"/>
      <c r="F118" s="5"/>
      <c r="G118" s="13"/>
      <c r="N118" s="9"/>
      <c r="O118" s="9"/>
    </row>
    <row r="119" spans="1:15" ht="21" customHeight="1" x14ac:dyDescent="0.25">
      <c r="A119" s="29"/>
      <c r="B119" s="29"/>
      <c r="C119" s="49"/>
      <c r="D119" s="15" t="s">
        <v>63</v>
      </c>
      <c r="E119" s="91" t="s">
        <v>65</v>
      </c>
      <c r="F119" s="91"/>
      <c r="G119" s="13"/>
    </row>
    <row r="120" spans="1:15" ht="21" customHeight="1" x14ac:dyDescent="0.25">
      <c r="A120" s="29"/>
      <c r="B120" s="29"/>
      <c r="C120" s="49"/>
      <c r="D120" s="12"/>
      <c r="E120" s="45"/>
      <c r="F120" s="5"/>
      <c r="G120" s="13"/>
      <c r="N120" s="9"/>
      <c r="O120" s="9"/>
    </row>
    <row r="121" spans="1:15" ht="21" customHeight="1" x14ac:dyDescent="0.25">
      <c r="A121" s="29"/>
      <c r="B121" s="29"/>
      <c r="C121" s="49"/>
      <c r="D121" s="15" t="s">
        <v>64</v>
      </c>
      <c r="E121" s="91" t="s">
        <v>66</v>
      </c>
      <c r="F121" s="91"/>
      <c r="G121" s="13"/>
    </row>
    <row r="122" spans="1:15" ht="21" customHeight="1" x14ac:dyDescent="0.25">
      <c r="A122" s="29"/>
      <c r="B122" s="29"/>
      <c r="F122" s="45"/>
      <c r="G122" s="13"/>
      <c r="N122" s="9"/>
      <c r="O122" s="9"/>
    </row>
    <row r="123" spans="1:15" ht="21" customHeight="1" x14ac:dyDescent="0.25">
      <c r="F123" s="26"/>
    </row>
    <row r="124" spans="1:15" ht="21" customHeight="1" x14ac:dyDescent="0.25">
      <c r="F124" s="26"/>
    </row>
    <row r="125" spans="1:15" ht="21" customHeight="1" x14ac:dyDescent="0.25">
      <c r="F125" s="26"/>
    </row>
    <row r="126" spans="1:15" ht="21" customHeight="1" x14ac:dyDescent="0.25">
      <c r="F126" s="26"/>
    </row>
    <row r="127" spans="1:15" ht="21" customHeight="1" x14ac:dyDescent="0.25">
      <c r="F127" s="26"/>
    </row>
  </sheetData>
  <mergeCells count="12">
    <mergeCell ref="E115:F115"/>
    <mergeCell ref="E117:F117"/>
    <mergeCell ref="E119:F119"/>
    <mergeCell ref="E121:F121"/>
    <mergeCell ref="A3:C3"/>
    <mergeCell ref="A4:C4"/>
    <mergeCell ref="A5:C5"/>
    <mergeCell ref="E105:F105"/>
    <mergeCell ref="E107:F107"/>
    <mergeCell ref="E109:F109"/>
    <mergeCell ref="E111:F111"/>
    <mergeCell ref="E113:F113"/>
  </mergeCells>
  <conditionalFormatting sqref="E1:E1048576">
    <cfRule type="cellIs" dxfId="0" priority="1" operator="equal">
      <formula>"x"</formula>
    </cfRule>
  </conditionalFormatting>
  <dataValidations xWindow="1433" yWindow="376" count="2">
    <dataValidation type="list" allowBlank="1" showInputMessage="1" showErrorMessage="1" error="ALLEEN  &quot;X&quot;  OF   &quot;0&quot;  INVULLEN_x000a_" promptTitle="ALLEEN   &quot;X&quot;  OF   &quot;0&quot;  INVULLEN" prompt="_x000a__x000a_PER VRAAG : EENMAAL &quot;X&quot; INVULLEN_x000a_                       ================_x000a__x000a__x000a_" sqref="E9:E13 E77:E82 E85:E92 E70:E74 E63:E67 E56:E60 E49:E52 E40:E46 E33:E38 E25:E30 E17:E22" xr:uid="{00000000-0002-0000-0000-000000000000}">
      <formula1>$T$9:$T$10</formula1>
    </dataValidation>
    <dataValidation allowBlank="1" showInputMessage="1" showErrorMessage="1" sqref="E96:E99" xr:uid="{00000000-0002-0000-0000-000001000000}"/>
  </dataValidations>
  <printOptions horizontalCentered="1"/>
  <pageMargins left="0" right="0" top="0.74803149606299213" bottom="0.74803149606299213" header="0.31496062992125984" footer="0.31496062992125984"/>
  <pageSetup paperSize="9" scale="60" fitToHeight="2" orientation="portrait" cellComments="atEnd" r:id="rId1"/>
  <headerFooter>
    <oddFooter xml:space="preserve">&amp;L
&amp;Z&amp;F&amp;R&amp;"Arial,Standaard"9 
   </oddFooter>
  </headerFooter>
  <rowBreaks count="1" manualBreakCount="1">
    <brk id="67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9D2B-B71E-D040-A77C-ABBFFF97772A}">
  <dimension ref="A1:G54"/>
  <sheetViews>
    <sheetView workbookViewId="0">
      <selection activeCell="B6" sqref="B6"/>
    </sheetView>
  </sheetViews>
  <sheetFormatPr baseColWidth="10" defaultColWidth="41.83203125" defaultRowHeight="17" x14ac:dyDescent="0.25"/>
  <cols>
    <col min="1" max="1" width="8.6640625" bestFit="1" customWidth="1"/>
    <col min="2" max="2" width="50.6640625" customWidth="1"/>
    <col min="3" max="3" width="22.83203125" bestFit="1" customWidth="1"/>
    <col min="4" max="4" width="72.83203125" bestFit="1" customWidth="1"/>
  </cols>
  <sheetData>
    <row r="1" spans="1:7" x14ac:dyDescent="0.25">
      <c r="A1" s="26" t="s">
        <v>122</v>
      </c>
      <c r="B1" s="26" t="s">
        <v>123</v>
      </c>
      <c r="C1" s="26" t="s">
        <v>147</v>
      </c>
      <c r="D1" s="26" t="s">
        <v>135</v>
      </c>
      <c r="E1" s="26"/>
      <c r="F1" s="26"/>
      <c r="G1" s="26"/>
    </row>
    <row r="2" spans="1:7" x14ac:dyDescent="0.25">
      <c r="A2" s="26">
        <v>1</v>
      </c>
      <c r="B2" s="26" t="s">
        <v>121</v>
      </c>
      <c r="C2" s="26" t="s">
        <v>136</v>
      </c>
      <c r="D2" s="26" t="s">
        <v>148</v>
      </c>
      <c r="E2" s="26"/>
      <c r="F2" s="26"/>
      <c r="G2" s="26"/>
    </row>
    <row r="3" spans="1:7" x14ac:dyDescent="0.25">
      <c r="A3" s="26">
        <v>2</v>
      </c>
      <c r="B3" s="26" t="s">
        <v>127</v>
      </c>
      <c r="C3" s="26" t="s">
        <v>149</v>
      </c>
      <c r="D3" s="26" t="s">
        <v>4</v>
      </c>
      <c r="E3" s="26"/>
      <c r="F3" s="26"/>
      <c r="G3" s="26"/>
    </row>
    <row r="4" spans="1:7" x14ac:dyDescent="0.25">
      <c r="A4" s="26">
        <v>3</v>
      </c>
      <c r="B4" s="26" t="s">
        <v>128</v>
      </c>
      <c r="C4" s="26" t="s">
        <v>137</v>
      </c>
      <c r="D4" s="26" t="s">
        <v>150</v>
      </c>
      <c r="E4" s="26"/>
      <c r="F4" s="26"/>
      <c r="G4" s="26"/>
    </row>
    <row r="5" spans="1:7" x14ac:dyDescent="0.25">
      <c r="A5" s="26">
        <v>4</v>
      </c>
      <c r="B5" s="26" t="s">
        <v>129</v>
      </c>
      <c r="C5" s="26" t="s">
        <v>138</v>
      </c>
      <c r="D5" s="26" t="s">
        <v>162</v>
      </c>
      <c r="E5" s="26"/>
      <c r="F5" s="26"/>
      <c r="G5" s="26"/>
    </row>
    <row r="6" spans="1:7" x14ac:dyDescent="0.25">
      <c r="A6" s="26">
        <v>5</v>
      </c>
      <c r="B6" s="26" t="s">
        <v>9</v>
      </c>
      <c r="C6" s="26" t="s">
        <v>139</v>
      </c>
      <c r="D6" s="26" t="s">
        <v>163</v>
      </c>
      <c r="E6" s="26"/>
      <c r="F6" s="26"/>
      <c r="G6" s="26"/>
    </row>
    <row r="7" spans="1:7" x14ac:dyDescent="0.25">
      <c r="A7" s="26">
        <v>6</v>
      </c>
      <c r="B7" s="26" t="s">
        <v>130</v>
      </c>
      <c r="C7" s="26" t="s">
        <v>140</v>
      </c>
      <c r="D7" s="26" t="s">
        <v>164</v>
      </c>
      <c r="E7" s="26"/>
      <c r="F7" s="26"/>
      <c r="G7" s="26"/>
    </row>
    <row r="8" spans="1:7" x14ac:dyDescent="0.25">
      <c r="A8" s="26">
        <v>7</v>
      </c>
      <c r="B8" s="26" t="s">
        <v>131</v>
      </c>
      <c r="C8" s="26" t="s">
        <v>141</v>
      </c>
      <c r="D8" s="26" t="s">
        <v>151</v>
      </c>
      <c r="E8" s="26"/>
      <c r="F8" s="26"/>
      <c r="G8" s="26"/>
    </row>
    <row r="9" spans="1:7" x14ac:dyDescent="0.25">
      <c r="A9" s="26">
        <v>8</v>
      </c>
      <c r="B9" s="26" t="s">
        <v>168</v>
      </c>
      <c r="C9" s="26" t="s">
        <v>142</v>
      </c>
      <c r="D9" s="26" t="s">
        <v>165</v>
      </c>
      <c r="E9" s="26"/>
      <c r="F9" s="26"/>
      <c r="G9" s="26"/>
    </row>
    <row r="10" spans="1:7" x14ac:dyDescent="0.25">
      <c r="A10" s="26">
        <v>9</v>
      </c>
      <c r="B10" s="26" t="s">
        <v>132</v>
      </c>
      <c r="C10" s="26" t="s">
        <v>143</v>
      </c>
      <c r="D10" s="26" t="s">
        <v>171</v>
      </c>
      <c r="E10" s="26"/>
      <c r="F10" s="26"/>
      <c r="G10" s="26"/>
    </row>
    <row r="11" spans="1:7" x14ac:dyDescent="0.25">
      <c r="A11" s="26">
        <v>10</v>
      </c>
      <c r="B11" s="26" t="s">
        <v>178</v>
      </c>
      <c r="C11" s="26" t="s">
        <v>144</v>
      </c>
      <c r="D11" s="26" t="s">
        <v>152</v>
      </c>
      <c r="E11" s="26"/>
      <c r="F11" s="26"/>
      <c r="G11" s="26"/>
    </row>
    <row r="12" spans="1:7" x14ac:dyDescent="0.25">
      <c r="A12" s="26">
        <v>11</v>
      </c>
      <c r="B12" s="26" t="s">
        <v>133</v>
      </c>
      <c r="C12" s="26" t="s">
        <v>145</v>
      </c>
      <c r="D12" s="26" t="s">
        <v>154</v>
      </c>
      <c r="E12" s="26"/>
      <c r="F12" s="26"/>
      <c r="G12" s="26"/>
    </row>
    <row r="13" spans="1:7" x14ac:dyDescent="0.25">
      <c r="A13" s="26">
        <v>12</v>
      </c>
      <c r="B13" s="26" t="s">
        <v>134</v>
      </c>
      <c r="C13" s="26" t="s">
        <v>146</v>
      </c>
      <c r="D13" s="26" t="s">
        <v>153</v>
      </c>
      <c r="E13" s="26"/>
      <c r="F13" s="26"/>
      <c r="G13" s="26"/>
    </row>
    <row r="14" spans="1:7" x14ac:dyDescent="0.25">
      <c r="A14" s="26"/>
      <c r="B14" s="26"/>
      <c r="C14" s="26"/>
      <c r="D14" s="26"/>
      <c r="E14" s="26"/>
      <c r="F14" s="26"/>
      <c r="G14" s="26"/>
    </row>
    <row r="15" spans="1:7" x14ac:dyDescent="0.25">
      <c r="A15" s="26"/>
      <c r="B15" s="26"/>
      <c r="C15" s="26"/>
      <c r="D15" s="26"/>
      <c r="E15" s="26"/>
      <c r="F15" s="26"/>
      <c r="G15" s="26"/>
    </row>
    <row r="16" spans="1:7" x14ac:dyDescent="0.25">
      <c r="A16" s="26"/>
      <c r="B16" s="26"/>
      <c r="C16" s="26"/>
      <c r="D16" s="26"/>
      <c r="E16" s="26"/>
      <c r="F16" s="26"/>
      <c r="G16" s="26"/>
    </row>
    <row r="17" spans="1:7" x14ac:dyDescent="0.25">
      <c r="A17" s="26"/>
      <c r="B17" s="26"/>
      <c r="C17" s="26"/>
      <c r="D17" s="26"/>
      <c r="E17" s="26"/>
      <c r="F17" s="26"/>
      <c r="G17" s="26"/>
    </row>
    <row r="18" spans="1:7" x14ac:dyDescent="0.25">
      <c r="A18" s="26"/>
      <c r="B18" s="26"/>
      <c r="C18" s="26"/>
      <c r="D18" s="26"/>
      <c r="E18" s="26"/>
      <c r="F18" s="26"/>
      <c r="G18" s="26"/>
    </row>
    <row r="19" spans="1:7" x14ac:dyDescent="0.25">
      <c r="A19" s="26"/>
      <c r="B19" s="26"/>
      <c r="C19" s="26"/>
      <c r="D19" s="26"/>
      <c r="E19" s="26"/>
      <c r="F19" s="26"/>
      <c r="G19" s="26"/>
    </row>
    <row r="20" spans="1:7" x14ac:dyDescent="0.25">
      <c r="A20" s="26"/>
      <c r="B20" s="26"/>
      <c r="C20" s="26"/>
      <c r="D20" s="26"/>
      <c r="E20" s="26"/>
      <c r="F20" s="26"/>
      <c r="G20" s="26"/>
    </row>
    <row r="21" spans="1:7" x14ac:dyDescent="0.25">
      <c r="A21" s="26"/>
      <c r="B21" s="26"/>
      <c r="C21" s="26"/>
      <c r="D21" s="26"/>
      <c r="E21" s="26"/>
      <c r="F21" s="26"/>
      <c r="G21" s="26"/>
    </row>
    <row r="22" spans="1:7" x14ac:dyDescent="0.25">
      <c r="A22" s="26"/>
      <c r="B22" s="26"/>
      <c r="C22" s="26"/>
      <c r="D22" s="26"/>
      <c r="E22" s="26"/>
      <c r="F22" s="26"/>
      <c r="G22" s="26"/>
    </row>
    <row r="23" spans="1:7" x14ac:dyDescent="0.25">
      <c r="A23" s="26"/>
      <c r="B23" s="26"/>
      <c r="C23" s="26"/>
      <c r="D23" s="26"/>
      <c r="E23" s="26"/>
      <c r="F23" s="26"/>
      <c r="G23" s="26"/>
    </row>
    <row r="24" spans="1:7" x14ac:dyDescent="0.25">
      <c r="A24" s="26"/>
      <c r="B24" s="26"/>
      <c r="C24" s="26"/>
      <c r="D24" s="26"/>
      <c r="E24" s="26"/>
      <c r="F24" s="26"/>
      <c r="G24" s="26"/>
    </row>
    <row r="25" spans="1:7" x14ac:dyDescent="0.25">
      <c r="A25" s="26"/>
      <c r="B25" s="26"/>
      <c r="C25" s="26"/>
      <c r="D25" s="26"/>
      <c r="E25" s="26"/>
      <c r="F25" s="26"/>
      <c r="G25" s="26"/>
    </row>
    <row r="26" spans="1:7" x14ac:dyDescent="0.25">
      <c r="A26" s="26"/>
      <c r="B26" s="26"/>
      <c r="C26" s="26"/>
      <c r="D26" s="26"/>
      <c r="E26" s="26"/>
      <c r="F26" s="26"/>
      <c r="G26" s="26"/>
    </row>
    <row r="27" spans="1:7" x14ac:dyDescent="0.25">
      <c r="A27" s="26"/>
      <c r="B27" s="26"/>
      <c r="C27" s="26"/>
      <c r="D27" s="26"/>
      <c r="E27" s="26"/>
      <c r="F27" s="26"/>
      <c r="G27" s="26"/>
    </row>
    <row r="28" spans="1:7" x14ac:dyDescent="0.25">
      <c r="A28" s="26"/>
      <c r="B28" s="26"/>
      <c r="C28" s="26"/>
      <c r="D28" s="26"/>
      <c r="E28" s="26"/>
      <c r="F28" s="26"/>
      <c r="G28" s="26"/>
    </row>
    <row r="29" spans="1:7" x14ac:dyDescent="0.25">
      <c r="A29" s="26"/>
      <c r="B29" s="26"/>
      <c r="C29" s="26"/>
      <c r="D29" s="26"/>
      <c r="E29" s="26"/>
      <c r="F29" s="26"/>
      <c r="G29" s="26"/>
    </row>
    <row r="30" spans="1:7" x14ac:dyDescent="0.25">
      <c r="A30" s="26"/>
      <c r="B30" s="26"/>
      <c r="C30" s="26"/>
      <c r="D30" s="26"/>
      <c r="E30" s="26"/>
      <c r="F30" s="26"/>
      <c r="G30" s="26"/>
    </row>
    <row r="31" spans="1:7" x14ac:dyDescent="0.25">
      <c r="A31" s="26"/>
      <c r="B31" s="26"/>
      <c r="C31" s="26"/>
      <c r="D31" s="26"/>
      <c r="E31" s="26"/>
      <c r="F31" s="26"/>
      <c r="G31" s="26"/>
    </row>
    <row r="32" spans="1:7" x14ac:dyDescent="0.25">
      <c r="A32" s="26"/>
      <c r="B32" s="26"/>
      <c r="C32" s="26"/>
      <c r="D32" s="26"/>
      <c r="E32" s="26"/>
      <c r="F32" s="26"/>
      <c r="G32" s="26"/>
    </row>
    <row r="33" spans="1:7" x14ac:dyDescent="0.25">
      <c r="A33" s="26"/>
      <c r="B33" s="26"/>
      <c r="C33" s="26"/>
      <c r="D33" s="26"/>
      <c r="E33" s="26"/>
      <c r="F33" s="26"/>
      <c r="G33" s="26"/>
    </row>
    <row r="34" spans="1:7" x14ac:dyDescent="0.25">
      <c r="A34" s="26"/>
      <c r="B34" s="26"/>
      <c r="C34" s="26"/>
      <c r="D34" s="26"/>
      <c r="E34" s="26"/>
      <c r="F34" s="26"/>
      <c r="G34" s="26"/>
    </row>
    <row r="35" spans="1:7" x14ac:dyDescent="0.25">
      <c r="A35" s="26"/>
      <c r="B35" s="26"/>
      <c r="C35" s="26"/>
      <c r="D35" s="26"/>
      <c r="E35" s="26"/>
      <c r="F35" s="26"/>
      <c r="G35" s="26"/>
    </row>
    <row r="36" spans="1:7" x14ac:dyDescent="0.25">
      <c r="A36" s="26"/>
      <c r="B36" s="26"/>
      <c r="C36" s="26"/>
      <c r="D36" s="26"/>
      <c r="E36" s="26"/>
      <c r="F36" s="26"/>
      <c r="G36" s="26"/>
    </row>
    <row r="37" spans="1:7" x14ac:dyDescent="0.25">
      <c r="A37" s="26"/>
      <c r="B37" s="26"/>
      <c r="C37" s="26"/>
      <c r="D37" s="26"/>
      <c r="E37" s="26"/>
      <c r="F37" s="26"/>
      <c r="G37" s="26"/>
    </row>
    <row r="38" spans="1:7" x14ac:dyDescent="0.25">
      <c r="A38" s="26"/>
      <c r="B38" s="26"/>
      <c r="C38" s="26"/>
      <c r="D38" s="26"/>
      <c r="E38" s="26"/>
      <c r="F38" s="26"/>
      <c r="G38" s="26"/>
    </row>
    <row r="39" spans="1:7" x14ac:dyDescent="0.25">
      <c r="A39" s="26"/>
      <c r="B39" s="26"/>
      <c r="C39" s="26"/>
      <c r="D39" s="26"/>
      <c r="E39" s="26"/>
      <c r="F39" s="26"/>
      <c r="G39" s="26"/>
    </row>
    <row r="40" spans="1:7" x14ac:dyDescent="0.25">
      <c r="A40" s="26"/>
      <c r="B40" s="26"/>
      <c r="C40" s="26"/>
      <c r="D40" s="26"/>
      <c r="E40" s="26"/>
      <c r="F40" s="26"/>
      <c r="G40" s="26"/>
    </row>
    <row r="41" spans="1:7" x14ac:dyDescent="0.25">
      <c r="A41" s="26"/>
      <c r="B41" s="26"/>
      <c r="C41" s="26"/>
      <c r="D41" s="26"/>
      <c r="E41" s="26"/>
      <c r="F41" s="26"/>
      <c r="G41" s="26"/>
    </row>
    <row r="42" spans="1:7" x14ac:dyDescent="0.25">
      <c r="A42" s="26"/>
      <c r="B42" s="26"/>
      <c r="C42" s="26"/>
      <c r="D42" s="26"/>
      <c r="E42" s="26"/>
      <c r="F42" s="26"/>
      <c r="G42" s="26"/>
    </row>
    <row r="43" spans="1:7" x14ac:dyDescent="0.25">
      <c r="A43" s="26"/>
      <c r="B43" s="26"/>
      <c r="C43" s="26"/>
      <c r="D43" s="26"/>
      <c r="E43" s="26"/>
      <c r="F43" s="26"/>
      <c r="G43" s="26"/>
    </row>
    <row r="44" spans="1:7" x14ac:dyDescent="0.25">
      <c r="A44" s="26"/>
      <c r="B44" s="26"/>
      <c r="C44" s="26"/>
      <c r="D44" s="26"/>
      <c r="E44" s="26"/>
      <c r="F44" s="26"/>
      <c r="G44" s="26"/>
    </row>
    <row r="45" spans="1:7" x14ac:dyDescent="0.25">
      <c r="A45" s="26"/>
      <c r="B45" s="26"/>
      <c r="C45" s="26"/>
      <c r="D45" s="26"/>
      <c r="E45" s="26"/>
      <c r="F45" s="26"/>
      <c r="G45" s="26"/>
    </row>
    <row r="46" spans="1:7" x14ac:dyDescent="0.25">
      <c r="A46" s="26"/>
      <c r="B46" s="26"/>
      <c r="C46" s="26"/>
      <c r="D46" s="26"/>
      <c r="E46" s="26"/>
      <c r="F46" s="26"/>
      <c r="G46" s="26"/>
    </row>
    <row r="47" spans="1:7" x14ac:dyDescent="0.25">
      <c r="A47" s="26"/>
      <c r="B47" s="26"/>
      <c r="C47" s="26"/>
      <c r="D47" s="26"/>
      <c r="E47" s="26"/>
      <c r="F47" s="26"/>
      <c r="G47" s="26"/>
    </row>
    <row r="48" spans="1:7" x14ac:dyDescent="0.25">
      <c r="A48" s="26"/>
      <c r="B48" s="26"/>
      <c r="C48" s="26"/>
      <c r="D48" s="26"/>
      <c r="E48" s="26"/>
      <c r="F48" s="26"/>
      <c r="G48" s="26"/>
    </row>
    <row r="49" spans="1:7" x14ac:dyDescent="0.25">
      <c r="A49" s="26"/>
      <c r="B49" s="26"/>
      <c r="C49" s="26"/>
      <c r="D49" s="26"/>
      <c r="E49" s="26"/>
      <c r="F49" s="26"/>
      <c r="G49" s="26"/>
    </row>
    <row r="50" spans="1:7" x14ac:dyDescent="0.25">
      <c r="A50" s="26"/>
      <c r="B50" s="26"/>
      <c r="C50" s="26"/>
      <c r="D50" s="26"/>
      <c r="E50" s="26"/>
      <c r="F50" s="26"/>
      <c r="G50" s="26"/>
    </row>
    <row r="51" spans="1:7" x14ac:dyDescent="0.25">
      <c r="A51" s="26"/>
      <c r="B51" s="26"/>
      <c r="C51" s="26"/>
      <c r="D51" s="26"/>
      <c r="E51" s="26"/>
      <c r="F51" s="26"/>
      <c r="G51" s="26"/>
    </row>
    <row r="52" spans="1:7" x14ac:dyDescent="0.25">
      <c r="A52" s="26"/>
      <c r="B52" s="26"/>
      <c r="C52" s="26"/>
      <c r="D52" s="26"/>
      <c r="E52" s="26"/>
      <c r="F52" s="26"/>
      <c r="G52" s="26"/>
    </row>
    <row r="53" spans="1:7" x14ac:dyDescent="0.25">
      <c r="A53" s="26"/>
      <c r="B53" s="26"/>
      <c r="C53" s="26"/>
      <c r="D53" s="26"/>
      <c r="E53" s="26"/>
      <c r="F53" s="26"/>
      <c r="G53" s="26"/>
    </row>
    <row r="54" spans="1:7" x14ac:dyDescent="0.25">
      <c r="A54" s="26"/>
      <c r="B54" s="26"/>
      <c r="C54" s="26"/>
      <c r="D54" s="26"/>
      <c r="E54" s="26"/>
      <c r="F54" s="26"/>
      <c r="G54" s="26"/>
    </row>
  </sheetData>
  <sortState xmlns:xlrd2="http://schemas.microsoft.com/office/spreadsheetml/2017/richdata2" ref="A2:B12">
    <sortCondition ref="A2:A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43BE-BAC4-9547-9F94-474A7F3CE3B4}">
  <dimension ref="A1:H54"/>
  <sheetViews>
    <sheetView topLeftCell="B19" zoomScaleNormal="100" workbookViewId="0">
      <selection activeCell="B55" sqref="B55"/>
    </sheetView>
  </sheetViews>
  <sheetFormatPr baseColWidth="10" defaultRowHeight="17" x14ac:dyDescent="0.25"/>
  <cols>
    <col min="2" max="2" width="133.33203125" customWidth="1"/>
    <col min="3" max="3" width="32.83203125" customWidth="1"/>
    <col min="5" max="5" width="44.1640625" bestFit="1" customWidth="1"/>
    <col min="6" max="6" width="112" bestFit="1" customWidth="1"/>
    <col min="7" max="7" width="7.5" bestFit="1" customWidth="1"/>
  </cols>
  <sheetData>
    <row r="1" spans="1:8" x14ac:dyDescent="0.25">
      <c r="A1" s="26" t="s">
        <v>122</v>
      </c>
      <c r="B1" s="26" t="s">
        <v>123</v>
      </c>
      <c r="C1" s="26" t="s">
        <v>147</v>
      </c>
      <c r="D1" s="26" t="s">
        <v>126</v>
      </c>
      <c r="E1" s="26" t="s">
        <v>135</v>
      </c>
      <c r="F1" s="26" t="s">
        <v>124</v>
      </c>
      <c r="G1" s="26" t="s">
        <v>125</v>
      </c>
      <c r="H1" s="26" t="s">
        <v>184</v>
      </c>
    </row>
    <row r="2" spans="1:8" x14ac:dyDescent="0.25">
      <c r="A2" s="26">
        <v>1</v>
      </c>
      <c r="B2" s="26" t="str">
        <f>VLOOKUP(A2,'vragen org'!A:B,2,0)</f>
        <v>Wat is uw beleggingsdoelstelling?</v>
      </c>
      <c r="C2" s="26" t="str">
        <f>VLOOKUP(A2,'vragen org'!A:C,3,0)</f>
        <v>beleggingsdoelstelling</v>
      </c>
      <c r="D2" s="26" t="s">
        <v>69</v>
      </c>
      <c r="E2" s="26" t="str">
        <f>VLOOKUP(A2,'vragen org'!A:E,4,0)</f>
        <v>Mijn beleggingsdoelstelling is:</v>
      </c>
      <c r="F2" s="26" t="s">
        <v>43</v>
      </c>
      <c r="G2" s="26">
        <v>2</v>
      </c>
    </row>
    <row r="3" spans="1:8" x14ac:dyDescent="0.25">
      <c r="A3" s="26">
        <v>1</v>
      </c>
      <c r="B3" s="26" t="str">
        <f>VLOOKUP(A3,'vragen org'!A:B,2,0)</f>
        <v>Wat is uw beleggingsdoelstelling?</v>
      </c>
      <c r="C3" s="26" t="str">
        <f>VLOOKUP(A3,'vragen org'!A:C,3,0)</f>
        <v>beleggingsdoelstelling</v>
      </c>
      <c r="D3" s="26" t="s">
        <v>70</v>
      </c>
      <c r="E3" s="26" t="str">
        <f>VLOOKUP(A3,'vragen org'!A:E,4,0)</f>
        <v>Mijn beleggingsdoelstelling is:</v>
      </c>
      <c r="F3" s="26" t="s">
        <v>44</v>
      </c>
      <c r="G3" s="26">
        <v>3</v>
      </c>
      <c r="H3" s="26" t="str">
        <f>F3</f>
        <v>Vermogensgroei of vermogensbehoud zonder een bepaald doelvermogen</v>
      </c>
    </row>
    <row r="4" spans="1:8" x14ac:dyDescent="0.25">
      <c r="A4" s="26">
        <v>1</v>
      </c>
      <c r="B4" s="26" t="str">
        <f>VLOOKUP(A4,'vragen org'!A:B,2,0)</f>
        <v>Wat is uw beleggingsdoelstelling?</v>
      </c>
      <c r="C4" s="26" t="str">
        <f>VLOOKUP(A4,'vragen org'!A:C,3,0)</f>
        <v>beleggingsdoelstelling</v>
      </c>
      <c r="D4" s="26" t="s">
        <v>71</v>
      </c>
      <c r="E4" s="26" t="str">
        <f>VLOOKUP(A4,'vragen org'!A:E,4,0)</f>
        <v>Mijn beleggingsdoelstelling is:</v>
      </c>
      <c r="F4" s="26" t="s">
        <v>155</v>
      </c>
      <c r="G4" s="26">
        <v>0</v>
      </c>
      <c r="H4" s="26"/>
    </row>
    <row r="5" spans="1:8" x14ac:dyDescent="0.25">
      <c r="A5" s="26">
        <v>1</v>
      </c>
      <c r="B5" s="26" t="str">
        <f>VLOOKUP(A5,'vragen org'!A:B,2,0)</f>
        <v>Wat is uw beleggingsdoelstelling?</v>
      </c>
      <c r="C5" s="26" t="str">
        <f>VLOOKUP(A5,'vragen org'!A:C,3,0)</f>
        <v>beleggingsdoelstelling</v>
      </c>
      <c r="D5" s="26" t="s">
        <v>72</v>
      </c>
      <c r="E5" s="26" t="str">
        <f>VLOOKUP(A5,'vragen org'!A:E,4,0)</f>
        <v>Mijn beleggingsdoelstelling is:</v>
      </c>
      <c r="F5" s="26" t="s">
        <v>156</v>
      </c>
      <c r="G5" s="26">
        <v>1</v>
      </c>
      <c r="H5" s="26"/>
    </row>
    <row r="6" spans="1:8" x14ac:dyDescent="0.25">
      <c r="A6" s="26">
        <v>2</v>
      </c>
      <c r="B6" s="26" t="str">
        <f>VLOOKUP(A6,'vragen org'!A:B,2,0)</f>
        <v>Bent U van plan tussentijds vermogen aan uw beleggingsportefeuille te onttrekken of juist vervolgstortingen te doen?</v>
      </c>
      <c r="C6" s="26" t="str">
        <f>VLOOKUP(A6,'vragen org'!A:C,3,0)</f>
        <v>bijstortingen</v>
      </c>
      <c r="D6" s="26" t="s">
        <v>69</v>
      </c>
      <c r="E6" s="26" t="str">
        <f>VLOOKUP(A6,'vragen org'!A:E,4,0)</f>
        <v>Ik ben van plan:</v>
      </c>
      <c r="F6" s="26" t="s">
        <v>74</v>
      </c>
      <c r="G6" s="26">
        <v>0</v>
      </c>
    </row>
    <row r="7" spans="1:8" x14ac:dyDescent="0.25">
      <c r="A7" s="26">
        <v>2</v>
      </c>
      <c r="B7" s="26" t="str">
        <f>VLOOKUP(A7,'vragen org'!A:B,2,0)</f>
        <v>Bent U van plan tussentijds vermogen aan uw beleggingsportefeuille te onttrekken of juist vervolgstortingen te doen?</v>
      </c>
      <c r="C7" s="26" t="str">
        <f>VLOOKUP(A7,'vragen org'!A:C,3,0)</f>
        <v>bijstortingen</v>
      </c>
      <c r="D7" s="26" t="s">
        <v>70</v>
      </c>
      <c r="E7" s="26" t="str">
        <f>VLOOKUP(A7,'vragen org'!A:E,4,0)</f>
        <v>Ik ben van plan:</v>
      </c>
      <c r="F7" s="26" t="s">
        <v>75</v>
      </c>
      <c r="G7" s="26">
        <v>6</v>
      </c>
      <c r="H7" s="26"/>
    </row>
    <row r="8" spans="1:8" x14ac:dyDescent="0.25">
      <c r="A8" s="26">
        <v>2</v>
      </c>
      <c r="B8" s="26" t="str">
        <f>VLOOKUP(A8,'vragen org'!A:B,2,0)</f>
        <v>Bent U van plan tussentijds vermogen aan uw beleggingsportefeuille te onttrekken of juist vervolgstortingen te doen?</v>
      </c>
      <c r="C8" s="26" t="str">
        <f>VLOOKUP(A8,'vragen org'!A:C,3,0)</f>
        <v>bijstortingen</v>
      </c>
      <c r="D8" s="26" t="s">
        <v>71</v>
      </c>
      <c r="E8" s="26" t="str">
        <f>VLOOKUP(A8,'vragen org'!A:E,4,0)</f>
        <v>Ik ben van plan:</v>
      </c>
      <c r="F8" s="26" t="s">
        <v>76</v>
      </c>
      <c r="G8" s="26">
        <v>2</v>
      </c>
      <c r="H8" s="26"/>
    </row>
    <row r="9" spans="1:8" x14ac:dyDescent="0.25">
      <c r="A9" s="26">
        <v>2</v>
      </c>
      <c r="B9" s="26" t="str">
        <f>VLOOKUP(A9,'vragen org'!A:B,2,0)</f>
        <v>Bent U van plan tussentijds vermogen aan uw beleggingsportefeuille te onttrekken of juist vervolgstortingen te doen?</v>
      </c>
      <c r="C9" s="26" t="str">
        <f>VLOOKUP(A9,'vragen org'!A:C,3,0)</f>
        <v>bijstortingen</v>
      </c>
      <c r="D9" s="26" t="s">
        <v>72</v>
      </c>
      <c r="E9" s="26" t="str">
        <f>VLOOKUP(A9,'vragen org'!A:E,4,0)</f>
        <v>Ik ben van plan:</v>
      </c>
      <c r="F9" s="26" t="s">
        <v>77</v>
      </c>
      <c r="G9" s="26">
        <v>4</v>
      </c>
      <c r="H9" s="26"/>
    </row>
    <row r="10" spans="1:8" x14ac:dyDescent="0.25">
      <c r="A10" s="26">
        <v>2</v>
      </c>
      <c r="B10" s="26" t="str">
        <f>VLOOKUP(A10,'vragen org'!A:B,2,0)</f>
        <v>Bent U van plan tussentijds vermogen aan uw beleggingsportefeuille te onttrekken of juist vervolgstortingen te doen?</v>
      </c>
      <c r="C10" s="26" t="str">
        <f>VLOOKUP(A10,'vragen org'!A:C,3,0)</f>
        <v>bijstortingen</v>
      </c>
      <c r="D10" s="26" t="s">
        <v>73</v>
      </c>
      <c r="E10" s="26" t="str">
        <f>VLOOKUP(A10,'vragen org'!A:E,4,0)</f>
        <v>Ik ben van plan:</v>
      </c>
      <c r="F10" s="26" t="s">
        <v>157</v>
      </c>
      <c r="G10" s="26">
        <v>3</v>
      </c>
      <c r="H10" s="26" t="str">
        <f>F10</f>
        <v>Per saldo geen bijstortingen of onttrekkingen te doen</v>
      </c>
    </row>
    <row r="11" spans="1:8" x14ac:dyDescent="0.25">
      <c r="A11" s="26">
        <v>3</v>
      </c>
      <c r="B11" s="26" t="str">
        <f>VLOOKUP(A11,'vragen org'!A:B,2,0)</f>
        <v>Welke gevolgen heeft het niet halen van uw beleggingsdoelstellingen?</v>
      </c>
      <c r="C11" s="26" t="str">
        <f>VLOOKUP(A11,'vragen org'!A:C,3,0)</f>
        <v>gevolgen</v>
      </c>
      <c r="D11" s="26" t="s">
        <v>69</v>
      </c>
      <c r="E11" s="26" t="str">
        <f>VLOOKUP(A11,'vragen org'!A:E,4,0)</f>
        <v xml:space="preserve">Het niet halen van doelstellingen: </v>
      </c>
      <c r="F11" s="26" t="s">
        <v>158</v>
      </c>
      <c r="G11" s="26">
        <v>3</v>
      </c>
    </row>
    <row r="12" spans="1:8" x14ac:dyDescent="0.25">
      <c r="A12" s="26">
        <v>3</v>
      </c>
      <c r="B12" s="26" t="str">
        <f>VLOOKUP(A12,'vragen org'!A:B,2,0)</f>
        <v>Welke gevolgen heeft het niet halen van uw beleggingsdoelstellingen?</v>
      </c>
      <c r="C12" s="26" t="str">
        <f>VLOOKUP(A12,'vragen org'!A:C,3,0)</f>
        <v>gevolgen</v>
      </c>
      <c r="D12" s="26" t="s">
        <v>70</v>
      </c>
      <c r="E12" s="26" t="str">
        <f>VLOOKUP(A12,'vragen org'!A:E,4,0)</f>
        <v xml:space="preserve">Het niet halen van doelstellingen: </v>
      </c>
      <c r="F12" s="26" t="s">
        <v>159</v>
      </c>
      <c r="G12" s="26">
        <v>0</v>
      </c>
      <c r="H12" s="26"/>
    </row>
    <row r="13" spans="1:8" x14ac:dyDescent="0.25">
      <c r="A13" s="26">
        <v>3</v>
      </c>
      <c r="B13" s="26" t="str">
        <f>VLOOKUP(A13,'vragen org'!A:B,2,0)</f>
        <v>Welke gevolgen heeft het niet halen van uw beleggingsdoelstellingen?</v>
      </c>
      <c r="C13" s="26" t="str">
        <f>VLOOKUP(A13,'vragen org'!A:C,3,0)</f>
        <v>gevolgen</v>
      </c>
      <c r="D13" s="26" t="s">
        <v>71</v>
      </c>
      <c r="E13" s="26" t="str">
        <f>VLOOKUP(A13,'vragen org'!A:E,4,0)</f>
        <v xml:space="preserve">Het niet halen van doelstellingen: </v>
      </c>
      <c r="F13" s="26" t="s">
        <v>160</v>
      </c>
      <c r="G13" s="26">
        <v>2</v>
      </c>
      <c r="H13" s="26" t="str">
        <f>F13</f>
        <v>Zou teleurstellend zijn, maar nauwelijks invloed hebben op mijn levenspeil</v>
      </c>
    </row>
    <row r="14" spans="1:8" x14ac:dyDescent="0.25">
      <c r="A14" s="26">
        <v>3</v>
      </c>
      <c r="B14" s="26" t="str">
        <f>VLOOKUP(A14,'vragen org'!A:B,2,0)</f>
        <v>Welke gevolgen heeft het niet halen van uw beleggingsdoelstellingen?</v>
      </c>
      <c r="C14" s="26" t="str">
        <f>VLOOKUP(A14,'vragen org'!A:C,3,0)</f>
        <v>gevolgen</v>
      </c>
      <c r="D14" s="26" t="s">
        <v>72</v>
      </c>
      <c r="E14" s="26" t="str">
        <f>VLOOKUP(A14,'vragen org'!A:E,4,0)</f>
        <v xml:space="preserve">Het niet halen van doelstellingen: </v>
      </c>
      <c r="F14" s="26" t="s">
        <v>161</v>
      </c>
      <c r="G14" s="26">
        <v>1</v>
      </c>
      <c r="H14" s="26"/>
    </row>
    <row r="15" spans="1:8" x14ac:dyDescent="0.25">
      <c r="A15" s="26">
        <v>3</v>
      </c>
      <c r="B15" s="26" t="str">
        <f>VLOOKUP(A15,'vragen org'!A:B,2,0)</f>
        <v>Welke gevolgen heeft het niet halen van uw beleggingsdoelstellingen?</v>
      </c>
      <c r="C15" s="26" t="str">
        <f>VLOOKUP(A15,'vragen org'!A:C,3,0)</f>
        <v>gevolgen</v>
      </c>
      <c r="D15" s="26" t="s">
        <v>73</v>
      </c>
      <c r="E15" s="26" t="str">
        <f>VLOOKUP(A15,'vragen org'!A:E,4,0)</f>
        <v xml:space="preserve">Het niet halen van doelstellingen: </v>
      </c>
      <c r="F15" s="26" t="s">
        <v>102</v>
      </c>
      <c r="G15" s="26">
        <v>1</v>
      </c>
      <c r="H15" s="26"/>
    </row>
    <row r="16" spans="1:8" x14ac:dyDescent="0.25">
      <c r="A16" s="26">
        <v>4</v>
      </c>
      <c r="B16" s="26" t="str">
        <f>VLOOKUP(A16,'vragen org'!A:B,2,0)</f>
        <v>Welk deel van uw vrij beschikbare vermogen (exclusief de eigen woning) is of wordt belegd op de rekening die wordt beheerd door B.A. van Doorn Comp?</v>
      </c>
      <c r="C16" s="26" t="str">
        <f>VLOOKUP(A16,'vragen org'!A:C,3,0)</f>
        <v>deel</v>
      </c>
      <c r="D16" s="26" t="s">
        <v>69</v>
      </c>
      <c r="E16" s="26" t="str">
        <f>VLOOKUP(A16,'vragen org'!A:E,4,0)</f>
        <v>Het deel van mijn vermogen dat wordt beheerd door B.A. van Doorn Comp is:</v>
      </c>
      <c r="F16" s="26" t="s">
        <v>6</v>
      </c>
      <c r="G16" s="26">
        <v>0</v>
      </c>
    </row>
    <row r="17" spans="1:8" x14ac:dyDescent="0.25">
      <c r="A17" s="26">
        <v>4</v>
      </c>
      <c r="B17" s="26" t="str">
        <f>VLOOKUP(A17,'vragen org'!A:B,2,0)</f>
        <v>Welk deel van uw vrij beschikbare vermogen (exclusief de eigen woning) is of wordt belegd op de rekening die wordt beheerd door B.A. van Doorn Comp?</v>
      </c>
      <c r="C17" s="26" t="str">
        <f>VLOOKUP(A17,'vragen org'!A:C,3,0)</f>
        <v>deel</v>
      </c>
      <c r="D17" s="26" t="s">
        <v>70</v>
      </c>
      <c r="E17" s="26" t="str">
        <f>VLOOKUP(A17,'vragen org'!A:E,4,0)</f>
        <v>Het deel van mijn vermogen dat wordt beheerd door B.A. van Doorn Comp is:</v>
      </c>
      <c r="F17" s="26" t="s">
        <v>7</v>
      </c>
      <c r="G17" s="26">
        <v>1</v>
      </c>
      <c r="H17" s="26"/>
    </row>
    <row r="18" spans="1:8" x14ac:dyDescent="0.25">
      <c r="A18" s="26">
        <v>4</v>
      </c>
      <c r="B18" s="26" t="str">
        <f>VLOOKUP(A18,'vragen org'!A:B,2,0)</f>
        <v>Welk deel van uw vrij beschikbare vermogen (exclusief de eigen woning) is of wordt belegd op de rekening die wordt beheerd door B.A. van Doorn Comp?</v>
      </c>
      <c r="C18" s="26" t="str">
        <f>VLOOKUP(A18,'vragen org'!A:C,3,0)</f>
        <v>deel</v>
      </c>
      <c r="D18" s="26" t="s">
        <v>71</v>
      </c>
      <c r="E18" s="26" t="str">
        <f>VLOOKUP(A18,'vragen org'!A:E,4,0)</f>
        <v>Het deel van mijn vermogen dat wordt beheerd door B.A. van Doorn Comp is:</v>
      </c>
      <c r="F18" s="26" t="s">
        <v>8</v>
      </c>
      <c r="G18" s="26">
        <v>2</v>
      </c>
      <c r="H18" s="26" t="str">
        <f>F18</f>
        <v>25% - 50%</v>
      </c>
    </row>
    <row r="19" spans="1:8" x14ac:dyDescent="0.25">
      <c r="A19" s="26">
        <v>4</v>
      </c>
      <c r="B19" s="26" t="str">
        <f>VLOOKUP(A19,'vragen org'!A:B,2,0)</f>
        <v>Welk deel van uw vrij beschikbare vermogen (exclusief de eigen woning) is of wordt belegd op de rekening die wordt beheerd door B.A. van Doorn Comp?</v>
      </c>
      <c r="C19" s="26" t="str">
        <f>VLOOKUP(A19,'vragen org'!A:C,3,0)</f>
        <v>deel</v>
      </c>
      <c r="D19" s="26" t="s">
        <v>72</v>
      </c>
      <c r="E19" s="26" t="str">
        <f>VLOOKUP(A19,'vragen org'!A:E,4,0)</f>
        <v>Het deel van mijn vermogen dat wordt beheerd door B.A. van Doorn Comp is:</v>
      </c>
      <c r="F19" s="26" t="s">
        <v>0</v>
      </c>
      <c r="G19" s="26">
        <v>3</v>
      </c>
      <c r="H19" s="26"/>
    </row>
    <row r="20" spans="1:8" x14ac:dyDescent="0.25">
      <c r="A20" s="26">
        <v>5</v>
      </c>
      <c r="B20" s="26" t="str">
        <f>VLOOKUP(A20,'vragen org'!A:B,2,0)</f>
        <v>Uw huidige inkomen (uit loon, pensioen onderneming ed) is :</v>
      </c>
      <c r="C20" s="26" t="str">
        <f>VLOOKUP(A20,'vragen org'!A:C,3,0)</f>
        <v>inkomen</v>
      </c>
      <c r="D20" s="26" t="s">
        <v>69</v>
      </c>
      <c r="E20" s="26" t="str">
        <f>VLOOKUP(A20,'vragen org'!A:E,4,0)</f>
        <v>Mijn huidige inkomen is:</v>
      </c>
      <c r="F20" s="26" t="s">
        <v>187</v>
      </c>
      <c r="G20" s="26">
        <v>0</v>
      </c>
    </row>
    <row r="21" spans="1:8" x14ac:dyDescent="0.25">
      <c r="A21" s="26">
        <v>5</v>
      </c>
      <c r="B21" s="26" t="str">
        <f>VLOOKUP(A21,'vragen org'!A:B,2,0)</f>
        <v>Uw huidige inkomen (uit loon, pensioen onderneming ed) is :</v>
      </c>
      <c r="C21" s="26" t="str">
        <f>VLOOKUP(A21,'vragen org'!A:C,3,0)</f>
        <v>inkomen</v>
      </c>
      <c r="D21" s="26" t="s">
        <v>70</v>
      </c>
      <c r="E21" s="26" t="str">
        <f>VLOOKUP(A21,'vragen org'!A:E,4,0)</f>
        <v>Mijn huidige inkomen is:</v>
      </c>
      <c r="F21" s="26" t="s">
        <v>28</v>
      </c>
      <c r="G21" s="26">
        <v>2</v>
      </c>
      <c r="H21" s="26"/>
    </row>
    <row r="22" spans="1:8" x14ac:dyDescent="0.25">
      <c r="A22" s="26">
        <v>5</v>
      </c>
      <c r="B22" s="26" t="str">
        <f>VLOOKUP(A22,'vragen org'!A:B,2,0)</f>
        <v>Uw huidige inkomen (uit loon, pensioen onderneming ed) is :</v>
      </c>
      <c r="C22" s="26" t="str">
        <f>VLOOKUP(A22,'vragen org'!A:C,3,0)</f>
        <v>inkomen</v>
      </c>
      <c r="D22" s="26" t="s">
        <v>71</v>
      </c>
      <c r="E22" s="26" t="str">
        <f>VLOOKUP(A22,'vragen org'!A:E,4,0)</f>
        <v>Mijn huidige inkomen is:</v>
      </c>
      <c r="F22" s="26" t="s">
        <v>186</v>
      </c>
      <c r="G22" s="26">
        <v>4</v>
      </c>
      <c r="H22" s="26" t="str">
        <f>F22</f>
        <v>Voldoende om uw vaste lasten en kosten van levensonderhoud te betalen.</v>
      </c>
    </row>
    <row r="23" spans="1:8" x14ac:dyDescent="0.25">
      <c r="A23" s="26">
        <v>5</v>
      </c>
      <c r="B23" s="26" t="str">
        <f>VLOOKUP(A23,'vragen org'!A:B,2,0)</f>
        <v>Uw huidige inkomen (uit loon, pensioen onderneming ed) is :</v>
      </c>
      <c r="C23" s="26" t="str">
        <f>VLOOKUP(A23,'vragen org'!A:C,3,0)</f>
        <v>inkomen</v>
      </c>
      <c r="D23" s="26" t="s">
        <v>72</v>
      </c>
      <c r="E23" s="26" t="str">
        <f>VLOOKUP(A23,'vragen org'!A:E,4,0)</f>
        <v>Mijn huidige inkomen is:</v>
      </c>
      <c r="F23" s="26" t="s">
        <v>30</v>
      </c>
      <c r="G23" s="26">
        <v>6</v>
      </c>
      <c r="H23" s="26"/>
    </row>
    <row r="24" spans="1:8" x14ac:dyDescent="0.25">
      <c r="A24" s="26">
        <v>5</v>
      </c>
      <c r="B24" s="26" t="str">
        <f>VLOOKUP(A24,'vragen org'!A:B,2,0)</f>
        <v>Uw huidige inkomen (uit loon, pensioen onderneming ed) is :</v>
      </c>
      <c r="C24" s="26" t="str">
        <f>VLOOKUP(A24,'vragen org'!A:C,3,0)</f>
        <v>inkomen</v>
      </c>
      <c r="D24" s="26" t="s">
        <v>73</v>
      </c>
      <c r="E24" s="26" t="str">
        <f>VLOOKUP(A24,'vragen org'!A:E,4,0)</f>
        <v>Mijn huidige inkomen is:</v>
      </c>
      <c r="F24" s="26" t="s">
        <v>39</v>
      </c>
      <c r="G24" s="26">
        <v>8</v>
      </c>
      <c r="H24" s="26"/>
    </row>
    <row r="25" spans="1:8" x14ac:dyDescent="0.25">
      <c r="A25" s="26">
        <v>6</v>
      </c>
      <c r="B25" s="26" t="str">
        <f>VLOOKUP(A25,'vragen org'!A:B,2,0)</f>
        <v>Welke kansverdeling spreekt u het meest aan voor het door U te beleggen vermogen?</v>
      </c>
      <c r="C25" s="26" t="str">
        <f>VLOOKUP(A25,'vragen org'!A:C,3,0)</f>
        <v>kansverdeling</v>
      </c>
      <c r="D25" s="26" t="s">
        <v>69</v>
      </c>
      <c r="E25" s="26" t="str">
        <f>VLOOKUP(A25,'vragen org'!A:E,4,0)</f>
        <v>De volgende kansverdeling spreekt mij aan:</v>
      </c>
      <c r="F25" s="26" t="s">
        <v>114</v>
      </c>
      <c r="G25" s="26">
        <v>3</v>
      </c>
    </row>
    <row r="26" spans="1:8" x14ac:dyDescent="0.25">
      <c r="A26" s="26">
        <v>6</v>
      </c>
      <c r="B26" s="26" t="str">
        <f>VLOOKUP(A26,'vragen org'!A:B,2,0)</f>
        <v>Welke kansverdeling spreekt u het meest aan voor het door U te beleggen vermogen?</v>
      </c>
      <c r="C26" s="26" t="str">
        <f>VLOOKUP(A26,'vragen org'!A:C,3,0)</f>
        <v>kansverdeling</v>
      </c>
      <c r="D26" s="26" t="s">
        <v>70</v>
      </c>
      <c r="E26" s="26" t="str">
        <f>VLOOKUP(A26,'vragen org'!A:E,4,0)</f>
        <v>De volgende kansverdeling spreekt mij aan:</v>
      </c>
      <c r="F26" s="26" t="s">
        <v>115</v>
      </c>
      <c r="G26" s="26">
        <v>2</v>
      </c>
      <c r="H26" s="26" t="str">
        <f>F26</f>
        <v>Een gemiddeld rendement van 3%, maar in een slecht jaar kan ik uitkomen op min 14%</v>
      </c>
    </row>
    <row r="27" spans="1:8" x14ac:dyDescent="0.25">
      <c r="A27" s="26">
        <v>6</v>
      </c>
      <c r="B27" s="26" t="str">
        <f>VLOOKUP(A27,'vragen org'!A:B,2,0)</f>
        <v>Welke kansverdeling spreekt u het meest aan voor het door U te beleggen vermogen?</v>
      </c>
      <c r="C27" s="26" t="str">
        <f>VLOOKUP(A27,'vragen org'!A:C,3,0)</f>
        <v>kansverdeling</v>
      </c>
      <c r="D27" s="26" t="s">
        <v>71</v>
      </c>
      <c r="E27" s="26" t="str">
        <f>VLOOKUP(A27,'vragen org'!A:E,4,0)</f>
        <v>De volgende kansverdeling spreekt mij aan:</v>
      </c>
      <c r="F27" s="26" t="s">
        <v>116</v>
      </c>
      <c r="G27" s="26">
        <v>1</v>
      </c>
      <c r="H27" s="26"/>
    </row>
    <row r="28" spans="1:8" x14ac:dyDescent="0.25">
      <c r="A28" s="26">
        <v>6</v>
      </c>
      <c r="B28" s="26" t="str">
        <f>VLOOKUP(A28,'vragen org'!A:B,2,0)</f>
        <v>Welke kansverdeling spreekt u het meest aan voor het door U te beleggen vermogen?</v>
      </c>
      <c r="C28" s="26" t="str">
        <f>VLOOKUP(A28,'vragen org'!A:C,3,0)</f>
        <v>kansverdeling</v>
      </c>
      <c r="D28" s="26" t="s">
        <v>72</v>
      </c>
      <c r="E28" s="26" t="str">
        <f>VLOOKUP(A28,'vragen org'!A:E,4,0)</f>
        <v>De volgende kansverdeling spreekt mij aan:</v>
      </c>
      <c r="F28" s="26" t="s">
        <v>11</v>
      </c>
      <c r="G28" s="26">
        <v>0</v>
      </c>
      <c r="H28" s="26"/>
    </row>
    <row r="29" spans="1:8" x14ac:dyDescent="0.25">
      <c r="A29" s="26">
        <v>7</v>
      </c>
      <c r="B29" s="26" t="str">
        <f>VLOOKUP(A29,'vragen org'!A:B,2,0)</f>
        <v>Hoe vaak controleert u de waarde van uw portefeuille?</v>
      </c>
      <c r="C29" s="26" t="str">
        <f>VLOOKUP(A29,'vragen org'!A:C,3,0)</f>
        <v>hoe_vaak</v>
      </c>
      <c r="D29" s="26" t="s">
        <v>69</v>
      </c>
      <c r="E29" s="26" t="str">
        <f>VLOOKUP(A29,'vragen org'!A:E,4,0)</f>
        <v>Ik controleer de waarde van mijn beleggingen:</v>
      </c>
      <c r="F29" s="26" t="s">
        <v>82</v>
      </c>
      <c r="G29" s="26">
        <v>0</v>
      </c>
    </row>
    <row r="30" spans="1:8" x14ac:dyDescent="0.25">
      <c r="A30" s="26">
        <v>7</v>
      </c>
      <c r="B30" s="26" t="str">
        <f>VLOOKUP(A30,'vragen org'!A:B,2,0)</f>
        <v>Hoe vaak controleert u de waarde van uw portefeuille?</v>
      </c>
      <c r="C30" s="26" t="str">
        <f>VLOOKUP(A30,'vragen org'!A:C,3,0)</f>
        <v>hoe_vaak</v>
      </c>
      <c r="D30" s="26" t="s">
        <v>70</v>
      </c>
      <c r="E30" s="26" t="str">
        <f>VLOOKUP(A30,'vragen org'!A:E,4,0)</f>
        <v>Ik controleer de waarde van mijn beleggingen:</v>
      </c>
      <c r="F30" s="26" t="s">
        <v>83</v>
      </c>
      <c r="G30" s="26">
        <v>1</v>
      </c>
      <c r="H30" s="26"/>
    </row>
    <row r="31" spans="1:8" x14ac:dyDescent="0.25">
      <c r="A31" s="26">
        <v>7</v>
      </c>
      <c r="B31" s="26" t="str">
        <f>VLOOKUP(A31,'vragen org'!A:B,2,0)</f>
        <v>Hoe vaak controleert u de waarde van uw portefeuille?</v>
      </c>
      <c r="C31" s="26" t="str">
        <f>VLOOKUP(A31,'vragen org'!A:C,3,0)</f>
        <v>hoe_vaak</v>
      </c>
      <c r="D31" s="26" t="s">
        <v>71</v>
      </c>
      <c r="E31" s="26" t="str">
        <f>VLOOKUP(A31,'vragen org'!A:E,4,0)</f>
        <v>Ik controleer de waarde van mijn beleggingen:</v>
      </c>
      <c r="F31" s="26" t="s">
        <v>84</v>
      </c>
      <c r="G31" s="26">
        <v>2</v>
      </c>
      <c r="H31" s="26" t="str">
        <f>F31</f>
        <v>Ieder kwartaal</v>
      </c>
    </row>
    <row r="32" spans="1:8" x14ac:dyDescent="0.25">
      <c r="A32" s="26">
        <v>7</v>
      </c>
      <c r="B32" s="26" t="str">
        <f>VLOOKUP(A32,'vragen org'!A:B,2,0)</f>
        <v>Hoe vaak controleert u de waarde van uw portefeuille?</v>
      </c>
      <c r="C32" s="26" t="str">
        <f>VLOOKUP(A32,'vragen org'!A:C,3,0)</f>
        <v>hoe_vaak</v>
      </c>
      <c r="D32" s="26" t="s">
        <v>72</v>
      </c>
      <c r="E32" s="26" t="str">
        <f>VLOOKUP(A32,'vragen org'!A:E,4,0)</f>
        <v>Ik controleer de waarde van mijn beleggingen:</v>
      </c>
      <c r="F32" s="26" t="s">
        <v>85</v>
      </c>
      <c r="G32" s="26">
        <v>3</v>
      </c>
      <c r="H32" s="26"/>
    </row>
    <row r="33" spans="1:8" x14ac:dyDescent="0.25">
      <c r="A33" s="26">
        <v>8</v>
      </c>
      <c r="B33" s="26" t="str">
        <f>VLOOKUP(A33,'vragen org'!A:B,2,0)</f>
        <v>Bij welke tussentijdse waardedaling van uw portefeuille maakt u zich zorgen?</v>
      </c>
      <c r="C33" s="26" t="str">
        <f>VLOOKUP(A33,'vragen org'!A:C,3,0)</f>
        <v>waardedaling</v>
      </c>
      <c r="D33" s="26" t="s">
        <v>69</v>
      </c>
      <c r="E33" s="26" t="str">
        <f>VLOOKUP(A33,'vragen org'!A:E,4,0)</f>
        <v>Ik maak me zorgen:</v>
      </c>
      <c r="F33" s="26" t="s">
        <v>166</v>
      </c>
      <c r="G33" s="26">
        <v>0</v>
      </c>
    </row>
    <row r="34" spans="1:8" x14ac:dyDescent="0.25">
      <c r="A34" s="26">
        <v>8</v>
      </c>
      <c r="B34" s="26" t="str">
        <f>VLOOKUP(A34,'vragen org'!A:B,2,0)</f>
        <v>Bij welke tussentijdse waardedaling van uw portefeuille maakt u zich zorgen?</v>
      </c>
      <c r="C34" s="26" t="str">
        <f>VLOOKUP(A34,'vragen org'!A:C,3,0)</f>
        <v>waardedaling</v>
      </c>
      <c r="D34" s="26" t="s">
        <v>70</v>
      </c>
      <c r="E34" s="26" t="str">
        <f>VLOOKUP(A34,'vragen org'!A:E,4,0)</f>
        <v>Ik maak me zorgen:</v>
      </c>
      <c r="F34" s="26" t="s">
        <v>169</v>
      </c>
      <c r="G34" s="26">
        <v>1</v>
      </c>
      <c r="H34" s="26"/>
    </row>
    <row r="35" spans="1:8" x14ac:dyDescent="0.25">
      <c r="A35" s="26">
        <v>8</v>
      </c>
      <c r="B35" s="26" t="str">
        <f>VLOOKUP(A35,'vragen org'!A:B,2,0)</f>
        <v>Bij welke tussentijdse waardedaling van uw portefeuille maakt u zich zorgen?</v>
      </c>
      <c r="C35" s="26" t="str">
        <f>VLOOKUP(A35,'vragen org'!A:C,3,0)</f>
        <v>waardedaling</v>
      </c>
      <c r="D35" s="26" t="s">
        <v>71</v>
      </c>
      <c r="E35" s="26" t="str">
        <f>VLOOKUP(A35,'vragen org'!A:E,4,0)</f>
        <v>Ik maak me zorgen:</v>
      </c>
      <c r="F35" s="26" t="s">
        <v>170</v>
      </c>
      <c r="G35" s="26">
        <v>2</v>
      </c>
      <c r="H35" s="26" t="str">
        <f>F35</f>
        <v>Bij een waardedaling groter dan 25%</v>
      </c>
    </row>
    <row r="36" spans="1:8" x14ac:dyDescent="0.25">
      <c r="A36" s="26">
        <v>8</v>
      </c>
      <c r="B36" s="26" t="str">
        <f>VLOOKUP(A36,'vragen org'!A:B,2,0)</f>
        <v>Bij welke tussentijdse waardedaling van uw portefeuille maakt u zich zorgen?</v>
      </c>
      <c r="C36" s="26" t="str">
        <f>VLOOKUP(A36,'vragen org'!A:C,3,0)</f>
        <v>waardedaling</v>
      </c>
      <c r="D36" s="26" t="s">
        <v>72</v>
      </c>
      <c r="E36" s="26" t="str">
        <f>VLOOKUP(A36,'vragen org'!A:E,4,0)</f>
        <v>Ik maak me zorgen:</v>
      </c>
      <c r="F36" s="26" t="s">
        <v>167</v>
      </c>
      <c r="G36" s="26">
        <v>3</v>
      </c>
      <c r="H36" s="26"/>
    </row>
    <row r="37" spans="1:8" x14ac:dyDescent="0.25">
      <c r="A37" s="26">
        <v>9</v>
      </c>
      <c r="B37" s="26" t="str">
        <f>VLOOKUP(A37,'vragen org'!A:B,2,0)</f>
        <v>Waaruit bestaat uw huidige beleggingsportefeuille?</v>
      </c>
      <c r="C37" s="26" t="str">
        <f>VLOOKUP(A37,'vragen org'!A:C,3,0)</f>
        <v>huidige</v>
      </c>
      <c r="D37" s="26" t="s">
        <v>69</v>
      </c>
      <c r="E37" s="26" t="str">
        <f>VLOOKUP(A37,'vragen org'!A:E,4,0)</f>
        <v>Mijn huidige beleggingen zijn:</v>
      </c>
      <c r="F37" s="26" t="s">
        <v>173</v>
      </c>
      <c r="G37" s="26">
        <v>0</v>
      </c>
    </row>
    <row r="38" spans="1:8" x14ac:dyDescent="0.25">
      <c r="A38" s="26">
        <v>9</v>
      </c>
      <c r="B38" s="26" t="str">
        <f>VLOOKUP(A38,'vragen org'!A:B,2,0)</f>
        <v>Waaruit bestaat uw huidige beleggingsportefeuille?</v>
      </c>
      <c r="C38" s="26" t="str">
        <f>VLOOKUP(A38,'vragen org'!A:C,3,0)</f>
        <v>huidige</v>
      </c>
      <c r="D38" s="26" t="s">
        <v>70</v>
      </c>
      <c r="E38" s="26" t="str">
        <f>VLOOKUP(A38,'vragen org'!A:E,4,0)</f>
        <v>Mijn huidige beleggingen zijn:</v>
      </c>
      <c r="F38" s="26" t="s">
        <v>174</v>
      </c>
      <c r="G38" s="26">
        <v>3</v>
      </c>
      <c r="H38" s="26"/>
    </row>
    <row r="39" spans="1:8" x14ac:dyDescent="0.25">
      <c r="A39" s="26">
        <v>9</v>
      </c>
      <c r="B39" s="26" t="str">
        <f>VLOOKUP(A39,'vragen org'!A:B,2,0)</f>
        <v>Waaruit bestaat uw huidige beleggingsportefeuille?</v>
      </c>
      <c r="C39" s="26" t="str">
        <f>VLOOKUP(A39,'vragen org'!A:C,3,0)</f>
        <v>huidige</v>
      </c>
      <c r="D39" s="26" t="s">
        <v>71</v>
      </c>
      <c r="E39" s="26" t="str">
        <f>VLOOKUP(A39,'vragen org'!A:E,4,0)</f>
        <v>Mijn huidige beleggingen zijn:</v>
      </c>
      <c r="F39" s="26" t="s">
        <v>90</v>
      </c>
      <c r="G39" s="26">
        <v>2</v>
      </c>
      <c r="H39" s="26" t="str">
        <f>F39</f>
        <v>Een mengeling van aandelen, obligaties en andere beleggingen</v>
      </c>
    </row>
    <row r="40" spans="1:8" x14ac:dyDescent="0.25">
      <c r="A40" s="26">
        <v>9</v>
      </c>
      <c r="B40" s="26" t="str">
        <f>VLOOKUP(A40,'vragen org'!A:B,2,0)</f>
        <v>Waaruit bestaat uw huidige beleggingsportefeuille?</v>
      </c>
      <c r="C40" s="26" t="str">
        <f>VLOOKUP(A40,'vragen org'!A:C,3,0)</f>
        <v>huidige</v>
      </c>
      <c r="D40" s="26" t="s">
        <v>72</v>
      </c>
      <c r="E40" s="26" t="str">
        <f>VLOOKUP(A40,'vragen org'!A:E,4,0)</f>
        <v>Mijn huidige beleggingen zijn:</v>
      </c>
      <c r="F40" s="26" t="s">
        <v>172</v>
      </c>
      <c r="G40" s="26">
        <v>1</v>
      </c>
      <c r="H40" s="26"/>
    </row>
    <row r="41" spans="1:8" x14ac:dyDescent="0.25">
      <c r="A41" s="26">
        <v>10</v>
      </c>
      <c r="B41" s="26" t="str">
        <f>VLOOKUP(A41,'vragen org'!A:B,2,0)</f>
        <v>Wat is uw beleggingshorizon? (Hoelang denkt u uw beleggingen aan te houden?)</v>
      </c>
      <c r="C41" s="26" t="str">
        <f>VLOOKUP(A41,'vragen org'!A:C,3,0)</f>
        <v>horizon</v>
      </c>
      <c r="D41" s="26" t="s">
        <v>69</v>
      </c>
      <c r="E41" s="26" t="str">
        <f>VLOOKUP(A41,'vragen org'!A:E,4,0)</f>
        <v>Mijn beleggingshorizon is:</v>
      </c>
      <c r="F41" s="26" t="s">
        <v>182</v>
      </c>
      <c r="G41" s="26">
        <v>0</v>
      </c>
    </row>
    <row r="42" spans="1:8" x14ac:dyDescent="0.25">
      <c r="A42" s="26">
        <v>10</v>
      </c>
      <c r="B42" s="26" t="str">
        <f>VLOOKUP(A42,'vragen org'!A:B,2,0)</f>
        <v>Wat is uw beleggingshorizon? (Hoelang denkt u uw beleggingen aan te houden?)</v>
      </c>
      <c r="C42" s="26" t="str">
        <f>VLOOKUP(A42,'vragen org'!A:C,3,0)</f>
        <v>horizon</v>
      </c>
      <c r="D42" s="26" t="s">
        <v>70</v>
      </c>
      <c r="E42" s="26" t="str">
        <f>VLOOKUP(A42,'vragen org'!A:E,4,0)</f>
        <v>Mijn beleggingshorizon is:</v>
      </c>
      <c r="F42" s="26" t="s">
        <v>179</v>
      </c>
      <c r="G42" s="26">
        <v>0</v>
      </c>
      <c r="H42" s="26"/>
    </row>
    <row r="43" spans="1:8" x14ac:dyDescent="0.25">
      <c r="A43" s="26">
        <v>10</v>
      </c>
      <c r="B43" s="26" t="str">
        <f>VLOOKUP(A43,'vragen org'!A:B,2,0)</f>
        <v>Wat is uw beleggingshorizon? (Hoelang denkt u uw beleggingen aan te houden?)</v>
      </c>
      <c r="C43" s="26" t="str">
        <f>VLOOKUP(A43,'vragen org'!A:C,3,0)</f>
        <v>horizon</v>
      </c>
      <c r="D43" s="26" t="s">
        <v>71</v>
      </c>
      <c r="E43" s="26" t="str">
        <f>VLOOKUP(A43,'vragen org'!A:E,4,0)</f>
        <v>Mijn beleggingshorizon is:</v>
      </c>
      <c r="F43" s="26" t="s">
        <v>180</v>
      </c>
      <c r="G43" s="26">
        <v>2</v>
      </c>
      <c r="H43" s="26"/>
    </row>
    <row r="44" spans="1:8" x14ac:dyDescent="0.25">
      <c r="A44" s="26">
        <v>10</v>
      </c>
      <c r="B44" s="26" t="str">
        <f>VLOOKUP(A44,'vragen org'!A:B,2,0)</f>
        <v>Wat is uw beleggingshorizon? (Hoelang denkt u uw beleggingen aan te houden?)</v>
      </c>
      <c r="C44" s="26" t="str">
        <f>VLOOKUP(A44,'vragen org'!A:C,3,0)</f>
        <v>horizon</v>
      </c>
      <c r="D44" s="26" t="s">
        <v>72</v>
      </c>
      <c r="E44" s="26" t="str">
        <f>VLOOKUP(A44,'vragen org'!A:E,4,0)</f>
        <v>Mijn beleggingshorizon is:</v>
      </c>
      <c r="F44" s="26" t="s">
        <v>181</v>
      </c>
      <c r="G44" s="26">
        <v>4</v>
      </c>
      <c r="H44" s="26" t="str">
        <f>F44</f>
        <v>Ongeveer 10 jaar</v>
      </c>
    </row>
    <row r="45" spans="1:8" x14ac:dyDescent="0.25">
      <c r="A45" s="26">
        <v>10</v>
      </c>
      <c r="B45" s="26" t="str">
        <f>VLOOKUP(A45,'vragen org'!A:B,2,0)</f>
        <v>Wat is uw beleggingshorizon? (Hoelang denkt u uw beleggingen aan te houden?)</v>
      </c>
      <c r="C45" s="26" t="str">
        <f>VLOOKUP(A45,'vragen org'!A:C,3,0)</f>
        <v>horizon</v>
      </c>
      <c r="D45" s="26" t="s">
        <v>73</v>
      </c>
      <c r="E45" s="26" t="str">
        <f>VLOOKUP(A45,'vragen org'!A:E,4,0)</f>
        <v>Mijn beleggingshorizon is:</v>
      </c>
      <c r="F45" s="26" t="s">
        <v>183</v>
      </c>
      <c r="G45" s="26">
        <v>6</v>
      </c>
      <c r="H45" s="26"/>
    </row>
    <row r="46" spans="1:8" x14ac:dyDescent="0.25">
      <c r="A46" s="26">
        <v>11</v>
      </c>
      <c r="B46" s="26" t="str">
        <f>VLOOKUP(A46,'vragen org'!A:B,2,0)</f>
        <v>Heeft u ervaring met beleggen?</v>
      </c>
      <c r="C46" s="26" t="str">
        <f>VLOOKUP(A46,'vragen org'!A:C,3,0)</f>
        <v>ervaring</v>
      </c>
      <c r="D46" s="26" t="s">
        <v>69</v>
      </c>
      <c r="E46" s="26" t="str">
        <f>VLOOKUP(A46,'vragen org'!A:E,4,0)</f>
        <v>Ervaring met beleggen:</v>
      </c>
      <c r="F46" s="26" t="s">
        <v>95</v>
      </c>
      <c r="G46" s="26">
        <v>6</v>
      </c>
    </row>
    <row r="47" spans="1:8" x14ac:dyDescent="0.25">
      <c r="A47" s="26">
        <v>11</v>
      </c>
      <c r="B47" s="26" t="str">
        <f>VLOOKUP(A47,'vragen org'!A:B,2,0)</f>
        <v>Heeft u ervaring met beleggen?</v>
      </c>
      <c r="C47" s="26" t="str">
        <f>VLOOKUP(A47,'vragen org'!A:C,3,0)</f>
        <v>ervaring</v>
      </c>
      <c r="D47" s="26" t="s">
        <v>70</v>
      </c>
      <c r="E47" s="26" t="str">
        <f>VLOOKUP(A47,'vragen org'!A:E,4,0)</f>
        <v>Ervaring met beleggen:</v>
      </c>
      <c r="F47" s="26" t="s">
        <v>96</v>
      </c>
      <c r="G47" s="26">
        <v>4</v>
      </c>
      <c r="H47" s="26" t="str">
        <f>F47</f>
        <v>Ja, maar in beperkte mate</v>
      </c>
    </row>
    <row r="48" spans="1:8" x14ac:dyDescent="0.25">
      <c r="A48" s="26">
        <v>11</v>
      </c>
      <c r="B48" s="26" t="str">
        <f>VLOOKUP(A48,'vragen org'!A:B,2,0)</f>
        <v>Heeft u ervaring met beleggen?</v>
      </c>
      <c r="C48" s="26" t="str">
        <f>VLOOKUP(A48,'vragen org'!A:C,3,0)</f>
        <v>ervaring</v>
      </c>
      <c r="D48" s="26" t="s">
        <v>71</v>
      </c>
      <c r="E48" s="26" t="str">
        <f>VLOOKUP(A48,'vragen org'!A:E,4,0)</f>
        <v>Ervaring met beleggen:</v>
      </c>
      <c r="F48" s="26" t="s">
        <v>97</v>
      </c>
      <c r="G48" s="26">
        <v>2</v>
      </c>
      <c r="H48" s="26"/>
    </row>
    <row r="49" spans="1:8" x14ac:dyDescent="0.25">
      <c r="A49" s="26">
        <v>11</v>
      </c>
      <c r="B49" s="26" t="str">
        <f>VLOOKUP(A49,'vragen org'!A:B,2,0)</f>
        <v>Heeft u ervaring met beleggen?</v>
      </c>
      <c r="C49" s="26" t="str">
        <f>VLOOKUP(A49,'vragen org'!A:C,3,0)</f>
        <v>ervaring</v>
      </c>
      <c r="D49" s="26" t="s">
        <v>72</v>
      </c>
      <c r="E49" s="26" t="str">
        <f>VLOOKUP(A49,'vragen org'!A:E,4,0)</f>
        <v>Ervaring met beleggen:</v>
      </c>
      <c r="F49" s="26" t="s">
        <v>98</v>
      </c>
      <c r="G49" s="26">
        <v>0</v>
      </c>
      <c r="H49" s="26"/>
    </row>
    <row r="50" spans="1:8" x14ac:dyDescent="0.25">
      <c r="A50" s="26">
        <v>12</v>
      </c>
      <c r="B50" s="26" t="str">
        <f>VLOOKUP(A50,'vragen org'!A:B,2,0)</f>
        <v>Wat is uw rendementsdoelstelling?</v>
      </c>
      <c r="C50" s="26" t="str">
        <f>VLOOKUP(A50,'vragen org'!A:C,3,0)</f>
        <v>rendementsdoelstelling</v>
      </c>
      <c r="D50" s="26" t="s">
        <v>69</v>
      </c>
      <c r="E50" s="26" t="str">
        <f>VLOOKUP(A50,'vragen org'!A:E,4,0)</f>
        <v>Mijn rendementsdoelstelling is:</v>
      </c>
      <c r="F50" s="26" t="s">
        <v>117</v>
      </c>
      <c r="G50" s="26">
        <v>0</v>
      </c>
    </row>
    <row r="51" spans="1:8" x14ac:dyDescent="0.25">
      <c r="A51" s="26">
        <v>12</v>
      </c>
      <c r="B51" s="26" t="str">
        <f>VLOOKUP(A51,'vragen org'!A:B,2,0)</f>
        <v>Wat is uw rendementsdoelstelling?</v>
      </c>
      <c r="C51" s="26" t="str">
        <f>VLOOKUP(A51,'vragen org'!A:C,3,0)</f>
        <v>rendementsdoelstelling</v>
      </c>
      <c r="D51" s="26" t="s">
        <v>70</v>
      </c>
      <c r="E51" s="26" t="str">
        <f>VLOOKUP(A51,'vragen org'!A:E,4,0)</f>
        <v>Mijn rendementsdoelstelling is:</v>
      </c>
      <c r="F51" s="26" t="s">
        <v>118</v>
      </c>
      <c r="G51" s="26">
        <v>0</v>
      </c>
    </row>
    <row r="52" spans="1:8" x14ac:dyDescent="0.25">
      <c r="A52" s="26">
        <v>12</v>
      </c>
      <c r="B52" s="26" t="str">
        <f>VLOOKUP(A52,'vragen org'!A:B,2,0)</f>
        <v>Wat is uw rendementsdoelstelling?</v>
      </c>
      <c r="C52" s="26" t="str">
        <f>VLOOKUP(A52,'vragen org'!A:C,3,0)</f>
        <v>rendementsdoelstelling</v>
      </c>
      <c r="D52" s="26" t="s">
        <v>71</v>
      </c>
      <c r="E52" s="26" t="str">
        <f>VLOOKUP(A52,'vragen org'!A:E,4,0)</f>
        <v>Mijn rendementsdoelstelling is:</v>
      </c>
      <c r="F52" s="26" t="s">
        <v>100</v>
      </c>
      <c r="G52" s="26">
        <v>0</v>
      </c>
    </row>
    <row r="53" spans="1:8" x14ac:dyDescent="0.25">
      <c r="A53" s="26">
        <v>12</v>
      </c>
      <c r="B53" s="26" t="str">
        <f>VLOOKUP(A53,'vragen org'!A:B,2,0)</f>
        <v>Wat is uw rendementsdoelstelling?</v>
      </c>
      <c r="C53" s="26" t="str">
        <f>VLOOKUP(A53,'vragen org'!A:C,3,0)</f>
        <v>rendementsdoelstelling</v>
      </c>
      <c r="D53" s="26" t="s">
        <v>72</v>
      </c>
      <c r="E53" s="26" t="str">
        <f>VLOOKUP(A53,'vragen org'!A:E,4,0)</f>
        <v>Mijn rendementsdoelstelling is:</v>
      </c>
      <c r="F53" s="26" t="s">
        <v>101</v>
      </c>
      <c r="G53" s="26">
        <v>0</v>
      </c>
      <c r="H53" t="str">
        <f>F53</f>
        <v>4% gemiddeld per jaar</v>
      </c>
    </row>
    <row r="54" spans="1:8" x14ac:dyDescent="0.25">
      <c r="A54" s="26">
        <v>12</v>
      </c>
      <c r="B54" s="26" t="str">
        <f>VLOOKUP(A54,'vragen org'!A:B,2,0)</f>
        <v>Wat is uw rendementsdoelstelling?</v>
      </c>
      <c r="C54" s="26" t="str">
        <f>VLOOKUP(A54,'vragen org'!A:C,3,0)</f>
        <v>rendementsdoelstelling</v>
      </c>
      <c r="D54" s="26" t="s">
        <v>73</v>
      </c>
      <c r="E54" s="26" t="str">
        <f>VLOOKUP(A54,'vragen org'!A:E,4,0)</f>
        <v>Mijn rendementsdoelstelling is:</v>
      </c>
      <c r="F54" s="26" t="s">
        <v>119</v>
      </c>
      <c r="G54" s="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860B-B73E-3243-A200-EE97BC645746}">
  <sheetPr>
    <tabColor rgb="FFFF0000"/>
  </sheetPr>
  <dimension ref="A1:I65"/>
  <sheetViews>
    <sheetView topLeftCell="D34" workbookViewId="0">
      <selection activeCell="F54" sqref="F54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15.83203125" style="26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200</v>
      </c>
      <c r="D2" s="26" t="s">
        <v>480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200</v>
      </c>
      <c r="D3" s="26" t="s">
        <v>483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200</v>
      </c>
      <c r="D4" s="26" t="s">
        <v>208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200</v>
      </c>
      <c r="D5" s="26" t="s">
        <v>201</v>
      </c>
      <c r="E5" s="70">
        <v>4</v>
      </c>
      <c r="F5" s="26" t="str">
        <f>D5</f>
        <v>om het te laten groeien op de langere termijn</v>
      </c>
    </row>
    <row r="6" spans="1:6" x14ac:dyDescent="0.25">
      <c r="A6" s="64" t="s">
        <v>136</v>
      </c>
      <c r="B6" s="64" t="s">
        <v>136</v>
      </c>
      <c r="C6" s="26" t="s">
        <v>200</v>
      </c>
      <c r="D6" s="26" t="s">
        <v>207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310</v>
      </c>
      <c r="D7" s="26" t="s">
        <v>311</v>
      </c>
      <c r="E7" s="70">
        <v>0</v>
      </c>
      <c r="F7" s="26" t="str">
        <f>D7</f>
        <v>nee, dat is in het antwoord op de vorige vraag voldoende verwoord</v>
      </c>
    </row>
    <row r="8" spans="1:6" x14ac:dyDescent="0.25">
      <c r="A8" s="64" t="s">
        <v>136</v>
      </c>
      <c r="B8" s="64" t="s">
        <v>313</v>
      </c>
      <c r="C8" s="26" t="s">
        <v>310</v>
      </c>
      <c r="D8" s="26" t="s">
        <v>312</v>
      </c>
      <c r="E8" s="70">
        <v>0</v>
      </c>
    </row>
    <row r="9" spans="1:6" x14ac:dyDescent="0.25">
      <c r="A9" s="26" t="s">
        <v>232</v>
      </c>
      <c r="B9" s="64" t="s">
        <v>446</v>
      </c>
      <c r="C9" s="26" t="s">
        <v>449</v>
      </c>
      <c r="D9" s="26" t="s">
        <v>282</v>
      </c>
      <c r="E9" s="65">
        <v>1</v>
      </c>
    </row>
    <row r="10" spans="1:6" x14ac:dyDescent="0.25">
      <c r="A10" s="26" t="s">
        <v>232</v>
      </c>
      <c r="B10" s="64" t="s">
        <v>446</v>
      </c>
      <c r="C10" s="26" t="s">
        <v>449</v>
      </c>
      <c r="D10" s="26" t="s">
        <v>283</v>
      </c>
      <c r="E10" s="65">
        <v>2</v>
      </c>
      <c r="F10" s="26" t="str">
        <f>D10</f>
        <v>is voldoende om mijn bestedingspatroon te handhaven</v>
      </c>
    </row>
    <row r="11" spans="1:6" x14ac:dyDescent="0.25">
      <c r="A11" s="26" t="s">
        <v>232</v>
      </c>
      <c r="B11" s="64" t="s">
        <v>446</v>
      </c>
      <c r="C11" s="26" t="s">
        <v>449</v>
      </c>
      <c r="D11" s="26" t="s">
        <v>234</v>
      </c>
      <c r="E11" s="65">
        <v>3</v>
      </c>
    </row>
    <row r="12" spans="1:6" x14ac:dyDescent="0.25">
      <c r="A12" s="26" t="s">
        <v>232</v>
      </c>
      <c r="B12" s="64" t="s">
        <v>447</v>
      </c>
      <c r="C12" s="26" t="s">
        <v>450</v>
      </c>
      <c r="D12" s="26" t="s">
        <v>284</v>
      </c>
      <c r="E12" s="65">
        <v>1</v>
      </c>
    </row>
    <row r="13" spans="1:6" x14ac:dyDescent="0.25">
      <c r="A13" s="26" t="s">
        <v>232</v>
      </c>
      <c r="B13" s="64" t="s">
        <v>447</v>
      </c>
      <c r="C13" s="26" t="s">
        <v>450</v>
      </c>
      <c r="D13" s="26" t="s">
        <v>286</v>
      </c>
      <c r="E13" s="65">
        <v>2</v>
      </c>
      <c r="F13" s="26" t="str">
        <f>D13</f>
        <v>is grotendeels vrij te beleggen en bestaat deels uit vastgoed (waaronder de eigen woning) en/of minder makkelijk verhandelbare vermogensbestanddelen</v>
      </c>
    </row>
    <row r="14" spans="1:6" x14ac:dyDescent="0.25">
      <c r="A14" s="26" t="s">
        <v>232</v>
      </c>
      <c r="B14" s="64" t="s">
        <v>447</v>
      </c>
      <c r="C14" s="26" t="s">
        <v>450</v>
      </c>
      <c r="D14" s="26" t="s">
        <v>285</v>
      </c>
      <c r="E14" s="65">
        <v>3</v>
      </c>
    </row>
    <row r="15" spans="1:6" x14ac:dyDescent="0.25">
      <c r="A15" s="26" t="s">
        <v>232</v>
      </c>
      <c r="B15" s="64" t="s">
        <v>138</v>
      </c>
      <c r="C15" s="26" t="s">
        <v>461</v>
      </c>
      <c r="D15" s="26" t="s">
        <v>236</v>
      </c>
      <c r="E15" s="65">
        <v>3</v>
      </c>
    </row>
    <row r="16" spans="1:6" x14ac:dyDescent="0.25">
      <c r="A16" s="26" t="s">
        <v>232</v>
      </c>
      <c r="B16" s="64" t="s">
        <v>138</v>
      </c>
      <c r="C16" s="26" t="s">
        <v>461</v>
      </c>
      <c r="D16" s="26" t="s">
        <v>206</v>
      </c>
      <c r="E16" s="65">
        <v>2</v>
      </c>
      <c r="F16" s="26" t="str">
        <f>D16</f>
        <v>is ongeveer de helft</v>
      </c>
    </row>
    <row r="17" spans="1:6" x14ac:dyDescent="0.25">
      <c r="A17" s="26" t="s">
        <v>232</v>
      </c>
      <c r="B17" s="64" t="s">
        <v>138</v>
      </c>
      <c r="C17" s="26" t="s">
        <v>461</v>
      </c>
      <c r="D17" s="26" t="s">
        <v>204</v>
      </c>
      <c r="E17" s="65">
        <v>1</v>
      </c>
    </row>
    <row r="18" spans="1:6" x14ac:dyDescent="0.25">
      <c r="A18" s="26" t="s">
        <v>232</v>
      </c>
      <c r="B18" s="64" t="s">
        <v>139</v>
      </c>
      <c r="C18" s="26" t="s">
        <v>233</v>
      </c>
      <c r="D18" s="26" t="s">
        <v>229</v>
      </c>
      <c r="E18" s="65">
        <v>1</v>
      </c>
    </row>
    <row r="19" spans="1:6" x14ac:dyDescent="0.25">
      <c r="A19" s="26" t="s">
        <v>232</v>
      </c>
      <c r="B19" s="64" t="s">
        <v>139</v>
      </c>
      <c r="C19" s="26" t="s">
        <v>233</v>
      </c>
      <c r="D19" s="26" t="s">
        <v>235</v>
      </c>
      <c r="E19" s="65">
        <v>2</v>
      </c>
    </row>
    <row r="20" spans="1:6" x14ac:dyDescent="0.25">
      <c r="A20" s="26" t="s">
        <v>232</v>
      </c>
      <c r="B20" s="64" t="s">
        <v>139</v>
      </c>
      <c r="C20" s="26" t="s">
        <v>233</v>
      </c>
      <c r="D20" s="26" t="s">
        <v>359</v>
      </c>
      <c r="E20" s="65">
        <v>3</v>
      </c>
      <c r="F20" s="26" t="str">
        <f>D20</f>
        <v>is meer dan voldoende en ik kan mijn vermogen laten groeien, behoudens evt. onttrekkingen voor box3-belasting</v>
      </c>
    </row>
    <row r="21" spans="1:6" x14ac:dyDescent="0.25">
      <c r="A21" s="26" t="s">
        <v>232</v>
      </c>
      <c r="B21" s="26" t="s">
        <v>189</v>
      </c>
      <c r="C21" s="26" t="s">
        <v>294</v>
      </c>
      <c r="D21" s="26" t="s">
        <v>202</v>
      </c>
      <c r="E21" s="65">
        <v>1</v>
      </c>
    </row>
    <row r="22" spans="1:6" x14ac:dyDescent="0.25">
      <c r="A22" s="26" t="s">
        <v>232</v>
      </c>
      <c r="B22" s="26" t="s">
        <v>189</v>
      </c>
      <c r="C22" s="26" t="s">
        <v>294</v>
      </c>
      <c r="D22" s="26" t="s">
        <v>209</v>
      </c>
      <c r="E22" s="65">
        <v>2</v>
      </c>
      <c r="F22" s="26" t="str">
        <f>D22</f>
        <v>kan ik een waardedaling van mijn beleggingen aan van ongeveer 25%</v>
      </c>
    </row>
    <row r="23" spans="1:6" x14ac:dyDescent="0.25">
      <c r="A23" s="26" t="s">
        <v>232</v>
      </c>
      <c r="B23" s="26" t="s">
        <v>189</v>
      </c>
      <c r="C23" s="26" t="s">
        <v>294</v>
      </c>
      <c r="D23" s="26" t="s">
        <v>210</v>
      </c>
      <c r="E23" s="65">
        <v>3</v>
      </c>
    </row>
    <row r="24" spans="1:6" x14ac:dyDescent="0.25">
      <c r="A24" s="26" t="s">
        <v>232</v>
      </c>
      <c r="B24" s="64" t="s">
        <v>217</v>
      </c>
      <c r="C24" s="26" t="s">
        <v>230</v>
      </c>
      <c r="D24" s="26" t="s">
        <v>436</v>
      </c>
      <c r="E24" s="90">
        <v>0</v>
      </c>
    </row>
    <row r="25" spans="1:6" x14ac:dyDescent="0.25">
      <c r="A25" s="26" t="s">
        <v>232</v>
      </c>
      <c r="B25" s="64" t="s">
        <v>217</v>
      </c>
      <c r="C25" s="26" t="s">
        <v>230</v>
      </c>
      <c r="D25" s="26" t="s">
        <v>435</v>
      </c>
      <c r="E25" s="90">
        <v>0</v>
      </c>
      <c r="F25" s="26" t="str">
        <f>D25</f>
        <v>is belegd in een portefeuille aandelen en obligaties</v>
      </c>
    </row>
    <row r="26" spans="1:6" x14ac:dyDescent="0.25">
      <c r="A26" s="26" t="s">
        <v>232</v>
      </c>
      <c r="B26" s="64" t="s">
        <v>217</v>
      </c>
      <c r="C26" s="26" t="s">
        <v>230</v>
      </c>
      <c r="D26" s="26" t="s">
        <v>295</v>
      </c>
      <c r="E26" s="90">
        <v>0</v>
      </c>
    </row>
    <row r="27" spans="1:6" x14ac:dyDescent="0.25">
      <c r="A27" s="75" t="s">
        <v>226</v>
      </c>
      <c r="B27" s="64" t="s">
        <v>221</v>
      </c>
      <c r="C27" s="26" t="s">
        <v>228</v>
      </c>
      <c r="D27" s="26" t="s">
        <v>297</v>
      </c>
      <c r="E27" s="76">
        <v>1</v>
      </c>
    </row>
    <row r="28" spans="1:6" x14ac:dyDescent="0.25">
      <c r="A28" s="75" t="s">
        <v>226</v>
      </c>
      <c r="B28" s="64" t="s">
        <v>221</v>
      </c>
      <c r="C28" s="26" t="s">
        <v>228</v>
      </c>
      <c r="D28" s="26" t="s">
        <v>298</v>
      </c>
      <c r="E28" s="76">
        <v>2</v>
      </c>
      <c r="F28" s="26" t="str">
        <f>D28</f>
        <v>is gemiddeld en ik volg af en toe het financiële nieuws</v>
      </c>
    </row>
    <row r="29" spans="1:6" x14ac:dyDescent="0.25">
      <c r="A29" s="75" t="s">
        <v>226</v>
      </c>
      <c r="B29" s="64" t="s">
        <v>221</v>
      </c>
      <c r="C29" s="26" t="s">
        <v>228</v>
      </c>
      <c r="D29" s="26" t="s">
        <v>296</v>
      </c>
      <c r="E29" s="76">
        <v>3</v>
      </c>
    </row>
    <row r="30" spans="1:6" x14ac:dyDescent="0.25">
      <c r="A30" s="75" t="s">
        <v>226</v>
      </c>
      <c r="B30" s="64" t="s">
        <v>231</v>
      </c>
      <c r="C30" s="26" t="s">
        <v>227</v>
      </c>
      <c r="D30" s="26" t="s">
        <v>297</v>
      </c>
      <c r="E30" s="76">
        <v>1</v>
      </c>
    </row>
    <row r="31" spans="1:6" x14ac:dyDescent="0.25">
      <c r="A31" s="75" t="s">
        <v>226</v>
      </c>
      <c r="B31" s="64" t="s">
        <v>231</v>
      </c>
      <c r="C31" s="26" t="s">
        <v>227</v>
      </c>
      <c r="D31" s="26" t="s">
        <v>223</v>
      </c>
      <c r="E31" s="76">
        <v>2</v>
      </c>
      <c r="F31" s="26" t="str">
        <f>D31</f>
        <v>is aanwezig, ik weet wat aandelen en obligaties zijn</v>
      </c>
    </row>
    <row r="32" spans="1:6" x14ac:dyDescent="0.25">
      <c r="A32" s="75" t="s">
        <v>226</v>
      </c>
      <c r="B32" s="64" t="s">
        <v>231</v>
      </c>
      <c r="C32" s="26" t="s">
        <v>227</v>
      </c>
      <c r="D32" s="26" t="s">
        <v>299</v>
      </c>
      <c r="E32" s="76">
        <v>3</v>
      </c>
    </row>
    <row r="33" spans="1:6" x14ac:dyDescent="0.25">
      <c r="A33" s="75" t="s">
        <v>226</v>
      </c>
      <c r="B33" s="64" t="s">
        <v>195</v>
      </c>
      <c r="C33" s="26" t="s">
        <v>211</v>
      </c>
      <c r="D33" s="26" t="s">
        <v>203</v>
      </c>
      <c r="E33" s="76">
        <v>1</v>
      </c>
    </row>
    <row r="34" spans="1:6" x14ac:dyDescent="0.25">
      <c r="A34" s="75" t="s">
        <v>226</v>
      </c>
      <c r="B34" s="64" t="s">
        <v>195</v>
      </c>
      <c r="C34" s="26" t="s">
        <v>211</v>
      </c>
      <c r="D34" s="26" t="s">
        <v>287</v>
      </c>
      <c r="E34" s="76">
        <v>3</v>
      </c>
    </row>
    <row r="35" spans="1:6" x14ac:dyDescent="0.25">
      <c r="A35" s="75" t="s">
        <v>226</v>
      </c>
      <c r="B35" s="64" t="s">
        <v>195</v>
      </c>
      <c r="C35" s="26" t="s">
        <v>211</v>
      </c>
      <c r="D35" s="26" t="s">
        <v>239</v>
      </c>
      <c r="E35" s="76">
        <v>2</v>
      </c>
      <c r="F35" s="26" t="str">
        <f>D35</f>
        <v>heb ik ervaring, vooral met vermogensbeheer</v>
      </c>
    </row>
    <row r="36" spans="1:6" x14ac:dyDescent="0.25">
      <c r="A36" s="75" t="s">
        <v>226</v>
      </c>
      <c r="B36" s="64" t="s">
        <v>194</v>
      </c>
      <c r="C36" s="26" t="s">
        <v>222</v>
      </c>
      <c r="D36" s="26" t="s">
        <v>288</v>
      </c>
      <c r="E36" s="76">
        <v>1</v>
      </c>
    </row>
    <row r="37" spans="1:6" x14ac:dyDescent="0.25">
      <c r="A37" s="75" t="s">
        <v>226</v>
      </c>
      <c r="B37" s="64" t="s">
        <v>194</v>
      </c>
      <c r="C37" s="26" t="s">
        <v>222</v>
      </c>
      <c r="D37" s="26" t="s">
        <v>289</v>
      </c>
      <c r="E37" s="76">
        <v>2</v>
      </c>
    </row>
    <row r="38" spans="1:6" x14ac:dyDescent="0.25">
      <c r="A38" s="75" t="s">
        <v>226</v>
      </c>
      <c r="B38" s="64" t="s">
        <v>194</v>
      </c>
      <c r="C38" s="26" t="s">
        <v>222</v>
      </c>
      <c r="D38" s="26" t="s">
        <v>290</v>
      </c>
      <c r="E38" s="76">
        <v>3</v>
      </c>
      <c r="F38" s="26" t="str">
        <f>D38</f>
        <v>is ruim aanwezig</v>
      </c>
    </row>
    <row r="39" spans="1:6" x14ac:dyDescent="0.25">
      <c r="A39" s="81" t="s">
        <v>196</v>
      </c>
      <c r="B39" s="64" t="s">
        <v>190</v>
      </c>
      <c r="C39" s="26" t="s">
        <v>439</v>
      </c>
      <c r="D39" s="26" t="s">
        <v>278</v>
      </c>
      <c r="E39" s="66">
        <v>1</v>
      </c>
    </row>
    <row r="40" spans="1:6" x14ac:dyDescent="0.25">
      <c r="A40" s="81" t="s">
        <v>196</v>
      </c>
      <c r="B40" s="64" t="s">
        <v>190</v>
      </c>
      <c r="C40" s="26" t="s">
        <v>439</v>
      </c>
      <c r="D40" s="26" t="s">
        <v>418</v>
      </c>
      <c r="E40" s="66">
        <v>2</v>
      </c>
      <c r="F40" s="26" t="str">
        <f>D40</f>
        <v>ben ik bereid, op enig moment, ongeveer 25% waardedaling te accepteren</v>
      </c>
    </row>
    <row r="41" spans="1:6" x14ac:dyDescent="0.25">
      <c r="A41" s="81" t="s">
        <v>196</v>
      </c>
      <c r="B41" s="64" t="s">
        <v>190</v>
      </c>
      <c r="C41" s="26" t="s">
        <v>439</v>
      </c>
      <c r="D41" s="26" t="s">
        <v>419</v>
      </c>
      <c r="E41" s="66">
        <v>3</v>
      </c>
    </row>
    <row r="42" spans="1:6" x14ac:dyDescent="0.25">
      <c r="A42" s="81" t="s">
        <v>196</v>
      </c>
      <c r="B42" s="64" t="s">
        <v>141</v>
      </c>
      <c r="C42" s="26" t="s">
        <v>205</v>
      </c>
      <c r="D42" s="26" t="s">
        <v>291</v>
      </c>
      <c r="E42" s="66">
        <v>1</v>
      </c>
      <c r="F42" s="26" t="str">
        <f>D42</f>
        <v>Ik check het geregeld en zit er bovenop</v>
      </c>
    </row>
    <row r="43" spans="1:6" x14ac:dyDescent="0.25">
      <c r="A43" s="81" t="s">
        <v>196</v>
      </c>
      <c r="B43" s="64" t="s">
        <v>141</v>
      </c>
      <c r="C43" s="26" t="s">
        <v>205</v>
      </c>
      <c r="D43" s="26" t="s">
        <v>199</v>
      </c>
      <c r="E43" s="66">
        <v>2</v>
      </c>
    </row>
    <row r="44" spans="1:6" x14ac:dyDescent="0.25">
      <c r="A44" s="81" t="s">
        <v>196</v>
      </c>
      <c r="B44" s="64" t="s">
        <v>141</v>
      </c>
      <c r="C44" s="26" t="s">
        <v>205</v>
      </c>
      <c r="D44" s="26" t="s">
        <v>292</v>
      </c>
      <c r="E44" s="66">
        <v>3</v>
      </c>
    </row>
    <row r="45" spans="1:6" x14ac:dyDescent="0.25">
      <c r="A45" s="81" t="s">
        <v>196</v>
      </c>
      <c r="B45" s="64" t="s">
        <v>218</v>
      </c>
      <c r="C45" s="26" t="s">
        <v>462</v>
      </c>
      <c r="D45" s="26" t="s">
        <v>237</v>
      </c>
      <c r="E45" s="66">
        <v>1</v>
      </c>
    </row>
    <row r="46" spans="1:6" x14ac:dyDescent="0.25">
      <c r="A46" s="81" t="s">
        <v>196</v>
      </c>
      <c r="B46" s="64" t="s">
        <v>218</v>
      </c>
      <c r="C46" s="26" t="s">
        <v>462</v>
      </c>
      <c r="D46" s="26" t="s">
        <v>238</v>
      </c>
      <c r="E46" s="66">
        <v>2</v>
      </c>
      <c r="F46" s="26" t="str">
        <f>D46</f>
        <v>Ik kan mijn beleggingen wel tien jaar aanhouden en heb er geen tussentijdse plannen mee</v>
      </c>
    </row>
    <row r="47" spans="1:6" x14ac:dyDescent="0.25">
      <c r="A47" s="81" t="s">
        <v>196</v>
      </c>
      <c r="B47" s="64" t="s">
        <v>218</v>
      </c>
      <c r="C47" s="26" t="s">
        <v>462</v>
      </c>
      <c r="D47" s="26" t="s">
        <v>475</v>
      </c>
      <c r="E47" s="66">
        <v>3</v>
      </c>
    </row>
    <row r="48" spans="1:6" x14ac:dyDescent="0.25">
      <c r="A48" s="81" t="s">
        <v>196</v>
      </c>
      <c r="B48" s="26" t="s">
        <v>219</v>
      </c>
      <c r="C48" s="26" t="s">
        <v>220</v>
      </c>
      <c r="D48" s="26" t="s">
        <v>362</v>
      </c>
      <c r="E48" s="66">
        <v>1</v>
      </c>
    </row>
    <row r="49" spans="1:6" x14ac:dyDescent="0.25">
      <c r="A49" s="81" t="s">
        <v>196</v>
      </c>
      <c r="B49" s="26" t="s">
        <v>219</v>
      </c>
      <c r="C49" s="26" t="s">
        <v>220</v>
      </c>
      <c r="D49" s="26" t="s">
        <v>360</v>
      </c>
      <c r="E49" s="66">
        <v>2</v>
      </c>
    </row>
    <row r="50" spans="1:6" x14ac:dyDescent="0.25">
      <c r="A50" s="81" t="s">
        <v>196</v>
      </c>
      <c r="B50" s="26" t="s">
        <v>219</v>
      </c>
      <c r="C50" s="26" t="s">
        <v>220</v>
      </c>
      <c r="D50" s="26" t="s">
        <v>361</v>
      </c>
      <c r="E50" s="66">
        <v>3</v>
      </c>
      <c r="F50" s="26" t="str">
        <f>D50</f>
        <v>Dat kan gebeuren, want beleggen gaat nu eenmaal gepaard met risico's</v>
      </c>
    </row>
    <row r="51" spans="1:6" x14ac:dyDescent="0.25">
      <c r="A51" s="26" t="s">
        <v>191</v>
      </c>
      <c r="B51" s="64" t="s">
        <v>192</v>
      </c>
      <c r="C51" s="26" t="s">
        <v>212</v>
      </c>
      <c r="D51" s="26" t="s">
        <v>213</v>
      </c>
      <c r="E51" s="77">
        <v>0</v>
      </c>
    </row>
    <row r="52" spans="1:6" x14ac:dyDescent="0.25">
      <c r="A52" s="26" t="s">
        <v>191</v>
      </c>
      <c r="B52" s="64" t="s">
        <v>192</v>
      </c>
      <c r="C52" s="26" t="s">
        <v>212</v>
      </c>
      <c r="D52" s="26" t="s">
        <v>214</v>
      </c>
      <c r="E52" s="77">
        <v>0</v>
      </c>
      <c r="F52" s="26" t="str">
        <f>D52</f>
        <v>spelen duurzaamheidsaspecten geen bijzondere rol</v>
      </c>
    </row>
    <row r="53" spans="1:6" x14ac:dyDescent="0.25">
      <c r="A53" s="26" t="s">
        <v>191</v>
      </c>
      <c r="B53" s="64" t="s">
        <v>192</v>
      </c>
      <c r="C53" s="26" t="s">
        <v>212</v>
      </c>
      <c r="D53" s="26" t="s">
        <v>215</v>
      </c>
      <c r="E53" s="77">
        <v>0</v>
      </c>
    </row>
    <row r="54" spans="1:6" x14ac:dyDescent="0.25">
      <c r="A54" s="26" t="s">
        <v>191</v>
      </c>
      <c r="B54" s="64" t="s">
        <v>193</v>
      </c>
      <c r="C54" s="26" t="s">
        <v>216</v>
      </c>
      <c r="D54" s="26" t="s">
        <v>281</v>
      </c>
      <c r="E54" s="77">
        <v>0</v>
      </c>
      <c r="F54" s="26" t="str">
        <f>D54</f>
        <v>heb ik geen duurzaamheidsvoorkeuren</v>
      </c>
    </row>
    <row r="55" spans="1:6" x14ac:dyDescent="0.25">
      <c r="A55" s="26" t="s">
        <v>191</v>
      </c>
      <c r="B55" s="64" t="s">
        <v>193</v>
      </c>
      <c r="C55" s="26" t="s">
        <v>216</v>
      </c>
      <c r="D55" s="87" t="s">
        <v>357</v>
      </c>
      <c r="E55" s="77">
        <v>0</v>
      </c>
    </row>
    <row r="56" spans="1:6" x14ac:dyDescent="0.25">
      <c r="A56" s="26" t="s">
        <v>191</v>
      </c>
      <c r="B56" s="64" t="s">
        <v>279</v>
      </c>
      <c r="C56" s="26" t="s">
        <v>463</v>
      </c>
      <c r="D56" s="26" t="s">
        <v>374</v>
      </c>
      <c r="E56" s="77">
        <v>0</v>
      </c>
      <c r="F56" s="26" t="str">
        <f>D56</f>
        <v>wil ik dat dit meer is dan een kwart</v>
      </c>
    </row>
    <row r="57" spans="1:6" x14ac:dyDescent="0.25">
      <c r="A57" s="26" t="s">
        <v>191</v>
      </c>
      <c r="B57" s="64" t="s">
        <v>279</v>
      </c>
      <c r="C57" s="26" t="s">
        <v>463</v>
      </c>
      <c r="D57" s="26" t="s">
        <v>355</v>
      </c>
      <c r="E57" s="77">
        <v>0</v>
      </c>
    </row>
    <row r="58" spans="1:6" x14ac:dyDescent="0.25">
      <c r="A58" s="26" t="s">
        <v>191</v>
      </c>
      <c r="B58" s="26" t="s">
        <v>280</v>
      </c>
      <c r="C58" s="26" t="s">
        <v>464</v>
      </c>
      <c r="D58" s="26" t="s">
        <v>356</v>
      </c>
      <c r="E58" s="77">
        <v>0</v>
      </c>
      <c r="F58" s="26" t="str">
        <f>D58</f>
        <v>zijn  geen vereiste voor de invulling van onze portefeuille</v>
      </c>
    </row>
    <row r="59" spans="1:6" x14ac:dyDescent="0.25">
      <c r="A59" s="26" t="s">
        <v>191</v>
      </c>
      <c r="B59" s="26" t="s">
        <v>280</v>
      </c>
      <c r="C59" s="26" t="s">
        <v>464</v>
      </c>
      <c r="D59" s="26" t="s">
        <v>391</v>
      </c>
      <c r="E59" s="77">
        <v>0</v>
      </c>
    </row>
    <row r="60" spans="1:6" x14ac:dyDescent="0.25">
      <c r="A60" s="64" t="s">
        <v>472</v>
      </c>
      <c r="B60" s="64" t="s">
        <v>472</v>
      </c>
      <c r="C60" s="26" t="s">
        <v>473</v>
      </c>
      <c r="D60" s="26" t="s">
        <v>474</v>
      </c>
      <c r="E60" s="70">
        <v>0</v>
      </c>
      <c r="F60" s="26" t="str">
        <f>D60</f>
        <v>nee, dat is niet nodig</v>
      </c>
    </row>
    <row r="61" spans="1:6" x14ac:dyDescent="0.25">
      <c r="A61" s="64" t="s">
        <v>472</v>
      </c>
      <c r="B61" s="64" t="s">
        <v>472</v>
      </c>
      <c r="C61" s="26" t="s">
        <v>473</v>
      </c>
      <c r="D61" s="26" t="s">
        <v>312</v>
      </c>
      <c r="E61" s="70">
        <v>0</v>
      </c>
    </row>
    <row r="62" spans="1:6" x14ac:dyDescent="0.25">
      <c r="A62" s="64" t="s">
        <v>506</v>
      </c>
      <c r="B62" s="64" t="s">
        <v>506</v>
      </c>
      <c r="C62" s="26" t="s">
        <v>509</v>
      </c>
      <c r="D62" s="26" t="s">
        <v>507</v>
      </c>
      <c r="E62" s="70">
        <v>0</v>
      </c>
      <c r="F62" s="26" t="s">
        <v>507</v>
      </c>
    </row>
    <row r="63" spans="1:6" x14ac:dyDescent="0.25">
      <c r="A63" s="64" t="s">
        <v>506</v>
      </c>
      <c r="B63" s="64" t="s">
        <v>506</v>
      </c>
      <c r="C63" s="26" t="s">
        <v>509</v>
      </c>
      <c r="D63" s="26" t="s">
        <v>508</v>
      </c>
      <c r="E63" s="26">
        <v>0</v>
      </c>
    </row>
    <row r="64" spans="1:6" x14ac:dyDescent="0.25">
      <c r="A64" s="64"/>
    </row>
    <row r="65" spans="1:1" x14ac:dyDescent="0.25">
      <c r="A65" s="64"/>
    </row>
  </sheetData>
  <sortState xmlns:xlrd2="http://schemas.microsoft.com/office/spreadsheetml/2017/richdata2" ref="A2:E55">
    <sortCondition ref="E2:E55"/>
  </sortState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A014-3E10-1F46-8D9E-4DD51E6E69C3}">
  <sheetPr>
    <tabColor rgb="FFFF0000"/>
  </sheetPr>
  <dimension ref="A1:I65"/>
  <sheetViews>
    <sheetView topLeftCell="E7" workbookViewId="0">
      <selection activeCell="F25" sqref="F25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15.83203125" style="26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516</v>
      </c>
      <c r="D2" s="26" t="s">
        <v>517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516</v>
      </c>
      <c r="D3" s="26" t="s">
        <v>518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516</v>
      </c>
      <c r="D4" s="26" t="s">
        <v>519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516</v>
      </c>
      <c r="D5" s="26" t="s">
        <v>520</v>
      </c>
      <c r="E5" s="70">
        <v>4</v>
      </c>
      <c r="F5" s="26" t="s">
        <v>520</v>
      </c>
    </row>
    <row r="6" spans="1:6" x14ac:dyDescent="0.25">
      <c r="A6" s="64" t="s">
        <v>136</v>
      </c>
      <c r="B6" s="64" t="s">
        <v>136</v>
      </c>
      <c r="C6" s="26" t="s">
        <v>516</v>
      </c>
      <c r="D6" s="26" t="s">
        <v>521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522</v>
      </c>
      <c r="D7" s="26" t="s">
        <v>523</v>
      </c>
      <c r="E7" s="70">
        <v>0</v>
      </c>
      <c r="F7" s="26" t="s">
        <v>523</v>
      </c>
    </row>
    <row r="8" spans="1:6" x14ac:dyDescent="0.25">
      <c r="A8" s="64" t="s">
        <v>136</v>
      </c>
      <c r="B8" s="64" t="s">
        <v>313</v>
      </c>
      <c r="C8" s="26" t="s">
        <v>522</v>
      </c>
      <c r="D8" s="26" t="s">
        <v>524</v>
      </c>
      <c r="E8" s="70">
        <v>0</v>
      </c>
    </row>
    <row r="9" spans="1:6" x14ac:dyDescent="0.25">
      <c r="A9" s="26" t="s">
        <v>232</v>
      </c>
      <c r="B9" s="64" t="s">
        <v>446</v>
      </c>
      <c r="C9" s="26" t="s">
        <v>525</v>
      </c>
      <c r="D9" s="26" t="s">
        <v>526</v>
      </c>
      <c r="E9" s="65">
        <v>1</v>
      </c>
    </row>
    <row r="10" spans="1:6" x14ac:dyDescent="0.25">
      <c r="A10" s="26" t="s">
        <v>232</v>
      </c>
      <c r="B10" s="64" t="s">
        <v>446</v>
      </c>
      <c r="C10" s="26" t="s">
        <v>525</v>
      </c>
      <c r="D10" s="26" t="s">
        <v>527</v>
      </c>
      <c r="E10" s="65">
        <v>2</v>
      </c>
      <c r="F10" s="26" t="s">
        <v>527</v>
      </c>
    </row>
    <row r="11" spans="1:6" x14ac:dyDescent="0.25">
      <c r="A11" s="26" t="s">
        <v>232</v>
      </c>
      <c r="B11" s="64" t="s">
        <v>446</v>
      </c>
      <c r="C11" s="26" t="s">
        <v>525</v>
      </c>
      <c r="D11" s="26" t="s">
        <v>528</v>
      </c>
      <c r="E11" s="65">
        <v>3</v>
      </c>
    </row>
    <row r="12" spans="1:6" x14ac:dyDescent="0.25">
      <c r="A12" s="26" t="s">
        <v>232</v>
      </c>
      <c r="B12" s="64" t="s">
        <v>447</v>
      </c>
      <c r="C12" s="26" t="s">
        <v>529</v>
      </c>
      <c r="D12" s="26" t="s">
        <v>530</v>
      </c>
      <c r="E12" s="65">
        <v>1</v>
      </c>
    </row>
    <row r="13" spans="1:6" x14ac:dyDescent="0.25">
      <c r="A13" s="26" t="s">
        <v>232</v>
      </c>
      <c r="B13" s="64" t="s">
        <v>447</v>
      </c>
      <c r="C13" s="26" t="s">
        <v>529</v>
      </c>
      <c r="D13" s="26" t="s">
        <v>531</v>
      </c>
      <c r="E13" s="65">
        <v>2</v>
      </c>
      <c r="F13" s="26" t="s">
        <v>531</v>
      </c>
    </row>
    <row r="14" spans="1:6" x14ac:dyDescent="0.25">
      <c r="A14" s="26" t="s">
        <v>232</v>
      </c>
      <c r="B14" s="64" t="s">
        <v>447</v>
      </c>
      <c r="C14" s="26" t="s">
        <v>529</v>
      </c>
      <c r="D14" s="26" t="s">
        <v>532</v>
      </c>
      <c r="E14" s="65">
        <v>3</v>
      </c>
    </row>
    <row r="15" spans="1:6" x14ac:dyDescent="0.25">
      <c r="A15" s="26" t="s">
        <v>232</v>
      </c>
      <c r="B15" s="64" t="s">
        <v>138</v>
      </c>
      <c r="C15" s="26" t="s">
        <v>533</v>
      </c>
      <c r="D15" s="26" t="s">
        <v>534</v>
      </c>
      <c r="E15" s="65">
        <v>3</v>
      </c>
    </row>
    <row r="16" spans="1:6" x14ac:dyDescent="0.25">
      <c r="A16" s="26" t="s">
        <v>232</v>
      </c>
      <c r="B16" s="64" t="s">
        <v>138</v>
      </c>
      <c r="C16" s="26" t="s">
        <v>533</v>
      </c>
      <c r="D16" s="26" t="s">
        <v>535</v>
      </c>
      <c r="E16" s="65">
        <v>2</v>
      </c>
      <c r="F16" s="26" t="s">
        <v>535</v>
      </c>
    </row>
    <row r="17" spans="1:6" x14ac:dyDescent="0.25">
      <c r="A17" s="26" t="s">
        <v>232</v>
      </c>
      <c r="B17" s="64" t="s">
        <v>138</v>
      </c>
      <c r="C17" s="26" t="s">
        <v>533</v>
      </c>
      <c r="D17" s="26" t="s">
        <v>536</v>
      </c>
      <c r="E17" s="65">
        <v>1</v>
      </c>
    </row>
    <row r="18" spans="1:6" x14ac:dyDescent="0.25">
      <c r="A18" s="26" t="s">
        <v>232</v>
      </c>
      <c r="B18" s="64" t="s">
        <v>139</v>
      </c>
      <c r="C18" s="26" t="s">
        <v>591</v>
      </c>
      <c r="D18" s="26" t="s">
        <v>537</v>
      </c>
      <c r="E18" s="65">
        <v>1</v>
      </c>
    </row>
    <row r="19" spans="1:6" x14ac:dyDescent="0.25">
      <c r="A19" s="26" t="s">
        <v>232</v>
      </c>
      <c r="B19" s="64" t="s">
        <v>139</v>
      </c>
      <c r="C19" s="26" t="s">
        <v>591</v>
      </c>
      <c r="D19" s="26" t="s">
        <v>538</v>
      </c>
      <c r="E19" s="65">
        <v>2</v>
      </c>
    </row>
    <row r="20" spans="1:6" x14ac:dyDescent="0.25">
      <c r="A20" s="26" t="s">
        <v>232</v>
      </c>
      <c r="B20" s="64" t="s">
        <v>139</v>
      </c>
      <c r="C20" s="26" t="s">
        <v>591</v>
      </c>
      <c r="D20" s="26" t="s">
        <v>539</v>
      </c>
      <c r="E20" s="65">
        <v>3</v>
      </c>
      <c r="F20" s="26" t="s">
        <v>539</v>
      </c>
    </row>
    <row r="21" spans="1:6" x14ac:dyDescent="0.25">
      <c r="A21" s="26" t="s">
        <v>232</v>
      </c>
      <c r="B21" s="26" t="s">
        <v>189</v>
      </c>
      <c r="C21" s="26" t="s">
        <v>540</v>
      </c>
      <c r="D21" s="26" t="s">
        <v>541</v>
      </c>
      <c r="E21" s="65">
        <v>1</v>
      </c>
    </row>
    <row r="22" spans="1:6" x14ac:dyDescent="0.25">
      <c r="A22" s="26" t="s">
        <v>232</v>
      </c>
      <c r="B22" s="26" t="s">
        <v>189</v>
      </c>
      <c r="C22" s="26" t="s">
        <v>540</v>
      </c>
      <c r="D22" s="26" t="s">
        <v>542</v>
      </c>
      <c r="E22" s="65">
        <v>2</v>
      </c>
      <c r="F22" s="26" t="s">
        <v>542</v>
      </c>
    </row>
    <row r="23" spans="1:6" x14ac:dyDescent="0.25">
      <c r="A23" s="26" t="s">
        <v>232</v>
      </c>
      <c r="B23" s="26" t="s">
        <v>189</v>
      </c>
      <c r="C23" s="26" t="s">
        <v>540</v>
      </c>
      <c r="D23" s="26" t="s">
        <v>543</v>
      </c>
      <c r="E23" s="65">
        <v>3</v>
      </c>
    </row>
    <row r="24" spans="1:6" x14ac:dyDescent="0.25">
      <c r="A24" s="26" t="s">
        <v>232</v>
      </c>
      <c r="B24" s="64" t="s">
        <v>217</v>
      </c>
      <c r="C24" s="26" t="s">
        <v>544</v>
      </c>
      <c r="D24" s="26" t="s">
        <v>545</v>
      </c>
      <c r="E24" s="90">
        <v>0</v>
      </c>
    </row>
    <row r="25" spans="1:6" x14ac:dyDescent="0.25">
      <c r="A25" s="26" t="s">
        <v>232</v>
      </c>
      <c r="B25" s="64" t="s">
        <v>217</v>
      </c>
      <c r="C25" s="26" t="s">
        <v>544</v>
      </c>
      <c r="D25" s="26" t="s">
        <v>707</v>
      </c>
      <c r="E25" s="90">
        <v>0</v>
      </c>
      <c r="F25" s="26" t="s">
        <v>707</v>
      </c>
    </row>
    <row r="26" spans="1:6" x14ac:dyDescent="0.25">
      <c r="A26" s="26" t="s">
        <v>232</v>
      </c>
      <c r="B26" s="64" t="s">
        <v>217</v>
      </c>
      <c r="C26" s="26" t="s">
        <v>544</v>
      </c>
      <c r="D26" s="26" t="s">
        <v>546</v>
      </c>
      <c r="E26" s="90">
        <v>0</v>
      </c>
    </row>
    <row r="27" spans="1:6" x14ac:dyDescent="0.25">
      <c r="A27" s="75" t="s">
        <v>226</v>
      </c>
      <c r="B27" s="64" t="s">
        <v>221</v>
      </c>
      <c r="C27" s="26" t="s">
        <v>547</v>
      </c>
      <c r="D27" s="26" t="s">
        <v>548</v>
      </c>
      <c r="E27" s="76">
        <v>1</v>
      </c>
    </row>
    <row r="28" spans="1:6" x14ac:dyDescent="0.25">
      <c r="A28" s="75" t="s">
        <v>226</v>
      </c>
      <c r="B28" s="64" t="s">
        <v>221</v>
      </c>
      <c r="C28" s="26" t="s">
        <v>547</v>
      </c>
      <c r="D28" s="26" t="s">
        <v>549</v>
      </c>
      <c r="E28" s="76">
        <v>2</v>
      </c>
      <c r="F28" s="26" t="s">
        <v>549</v>
      </c>
    </row>
    <row r="29" spans="1:6" x14ac:dyDescent="0.25">
      <c r="A29" s="75" t="s">
        <v>226</v>
      </c>
      <c r="B29" s="64" t="s">
        <v>221</v>
      </c>
      <c r="C29" s="26" t="s">
        <v>547</v>
      </c>
      <c r="D29" s="26" t="s">
        <v>550</v>
      </c>
      <c r="E29" s="76">
        <v>3</v>
      </c>
    </row>
    <row r="30" spans="1:6" x14ac:dyDescent="0.25">
      <c r="A30" s="75" t="s">
        <v>226</v>
      </c>
      <c r="B30" s="64" t="s">
        <v>231</v>
      </c>
      <c r="C30" s="26" t="s">
        <v>551</v>
      </c>
      <c r="D30" s="26" t="s">
        <v>548</v>
      </c>
      <c r="E30" s="76">
        <v>1</v>
      </c>
    </row>
    <row r="31" spans="1:6" x14ac:dyDescent="0.25">
      <c r="A31" s="75" t="s">
        <v>226</v>
      </c>
      <c r="B31" s="64" t="s">
        <v>231</v>
      </c>
      <c r="C31" s="26" t="s">
        <v>551</v>
      </c>
      <c r="D31" s="26" t="s">
        <v>552</v>
      </c>
      <c r="E31" s="76">
        <v>2</v>
      </c>
      <c r="F31" s="26" t="s">
        <v>552</v>
      </c>
    </row>
    <row r="32" spans="1:6" x14ac:dyDescent="0.25">
      <c r="A32" s="75" t="s">
        <v>226</v>
      </c>
      <c r="B32" s="64" t="s">
        <v>231</v>
      </c>
      <c r="C32" s="26" t="s">
        <v>551</v>
      </c>
      <c r="D32" s="26" t="s">
        <v>553</v>
      </c>
      <c r="E32" s="76">
        <v>3</v>
      </c>
    </row>
    <row r="33" spans="1:6" x14ac:dyDescent="0.25">
      <c r="A33" s="75" t="s">
        <v>226</v>
      </c>
      <c r="B33" s="64" t="s">
        <v>195</v>
      </c>
      <c r="C33" s="26" t="s">
        <v>554</v>
      </c>
      <c r="D33" s="26" t="s">
        <v>555</v>
      </c>
      <c r="E33" s="76">
        <v>1</v>
      </c>
    </row>
    <row r="34" spans="1:6" x14ac:dyDescent="0.25">
      <c r="A34" s="75" t="s">
        <v>226</v>
      </c>
      <c r="B34" s="64" t="s">
        <v>195</v>
      </c>
      <c r="C34" s="26" t="s">
        <v>554</v>
      </c>
      <c r="D34" s="26" t="s">
        <v>556</v>
      </c>
      <c r="E34" s="76">
        <v>3</v>
      </c>
    </row>
    <row r="35" spans="1:6" x14ac:dyDescent="0.25">
      <c r="A35" s="75" t="s">
        <v>226</v>
      </c>
      <c r="B35" s="64" t="s">
        <v>195</v>
      </c>
      <c r="C35" s="26" t="s">
        <v>554</v>
      </c>
      <c r="D35" s="26" t="s">
        <v>557</v>
      </c>
      <c r="E35" s="76">
        <v>2</v>
      </c>
      <c r="F35" s="26" t="s">
        <v>557</v>
      </c>
    </row>
    <row r="36" spans="1:6" x14ac:dyDescent="0.25">
      <c r="A36" s="75" t="s">
        <v>226</v>
      </c>
      <c r="B36" s="64" t="s">
        <v>194</v>
      </c>
      <c r="C36" s="26" t="s">
        <v>558</v>
      </c>
      <c r="D36" s="26" t="s">
        <v>559</v>
      </c>
      <c r="E36" s="76">
        <v>1</v>
      </c>
    </row>
    <row r="37" spans="1:6" x14ac:dyDescent="0.25">
      <c r="A37" s="75" t="s">
        <v>226</v>
      </c>
      <c r="B37" s="64" t="s">
        <v>194</v>
      </c>
      <c r="C37" s="26" t="s">
        <v>558</v>
      </c>
      <c r="D37" s="26" t="s">
        <v>560</v>
      </c>
      <c r="E37" s="76">
        <v>2</v>
      </c>
    </row>
    <row r="38" spans="1:6" x14ac:dyDescent="0.25">
      <c r="A38" s="75" t="s">
        <v>226</v>
      </c>
      <c r="B38" s="64" t="s">
        <v>194</v>
      </c>
      <c r="C38" s="26" t="s">
        <v>558</v>
      </c>
      <c r="D38" s="26" t="s">
        <v>561</v>
      </c>
      <c r="E38" s="76">
        <v>3</v>
      </c>
      <c r="F38" s="26" t="s">
        <v>561</v>
      </c>
    </row>
    <row r="39" spans="1:6" x14ac:dyDescent="0.25">
      <c r="A39" s="81" t="s">
        <v>196</v>
      </c>
      <c r="B39" s="64" t="s">
        <v>190</v>
      </c>
      <c r="C39" s="26" t="s">
        <v>562</v>
      </c>
      <c r="D39" s="26" t="s">
        <v>563</v>
      </c>
      <c r="E39" s="66">
        <v>1</v>
      </c>
    </row>
    <row r="40" spans="1:6" x14ac:dyDescent="0.25">
      <c r="A40" s="81" t="s">
        <v>196</v>
      </c>
      <c r="B40" s="64" t="s">
        <v>190</v>
      </c>
      <c r="C40" s="26" t="s">
        <v>562</v>
      </c>
      <c r="D40" s="26" t="s">
        <v>700</v>
      </c>
      <c r="E40" s="66">
        <v>2</v>
      </c>
      <c r="F40" s="26" t="s">
        <v>700</v>
      </c>
    </row>
    <row r="41" spans="1:6" x14ac:dyDescent="0.25">
      <c r="A41" s="81" t="s">
        <v>196</v>
      </c>
      <c r="B41" s="64" t="s">
        <v>190</v>
      </c>
      <c r="C41" s="26" t="s">
        <v>562</v>
      </c>
      <c r="D41" s="26" t="s">
        <v>701</v>
      </c>
      <c r="E41" s="66">
        <v>3</v>
      </c>
    </row>
    <row r="42" spans="1:6" x14ac:dyDescent="0.25">
      <c r="A42" s="81" t="s">
        <v>196</v>
      </c>
      <c r="B42" s="64" t="s">
        <v>141</v>
      </c>
      <c r="C42" s="26" t="s">
        <v>564</v>
      </c>
      <c r="D42" s="26" t="s">
        <v>565</v>
      </c>
      <c r="E42" s="66">
        <v>1</v>
      </c>
      <c r="F42" s="26" t="s">
        <v>565</v>
      </c>
    </row>
    <row r="43" spans="1:6" x14ac:dyDescent="0.25">
      <c r="A43" s="81" t="s">
        <v>196</v>
      </c>
      <c r="B43" s="64" t="s">
        <v>141</v>
      </c>
      <c r="C43" s="26" t="s">
        <v>564</v>
      </c>
      <c r="D43" s="26" t="s">
        <v>566</v>
      </c>
      <c r="E43" s="66">
        <v>2</v>
      </c>
    </row>
    <row r="44" spans="1:6" x14ac:dyDescent="0.25">
      <c r="A44" s="81" t="s">
        <v>196</v>
      </c>
      <c r="B44" s="64" t="s">
        <v>141</v>
      </c>
      <c r="C44" s="26" t="s">
        <v>564</v>
      </c>
      <c r="D44" s="26" t="s">
        <v>567</v>
      </c>
      <c r="E44" s="66">
        <v>3</v>
      </c>
    </row>
    <row r="45" spans="1:6" x14ac:dyDescent="0.25">
      <c r="A45" s="81" t="s">
        <v>196</v>
      </c>
      <c r="B45" s="64" t="s">
        <v>218</v>
      </c>
      <c r="C45" s="26" t="s">
        <v>568</v>
      </c>
      <c r="D45" s="26" t="s">
        <v>569</v>
      </c>
      <c r="E45" s="66">
        <v>1</v>
      </c>
    </row>
    <row r="46" spans="1:6" x14ac:dyDescent="0.25">
      <c r="A46" s="81" t="s">
        <v>196</v>
      </c>
      <c r="B46" s="64" t="s">
        <v>218</v>
      </c>
      <c r="C46" s="26" t="s">
        <v>568</v>
      </c>
      <c r="D46" s="26" t="s">
        <v>570</v>
      </c>
      <c r="E46" s="66">
        <v>2</v>
      </c>
      <c r="F46" s="26" t="s">
        <v>570</v>
      </c>
    </row>
    <row r="47" spans="1:6" x14ac:dyDescent="0.25">
      <c r="A47" s="81" t="s">
        <v>196</v>
      </c>
      <c r="B47" s="64" t="s">
        <v>218</v>
      </c>
      <c r="C47" s="26" t="s">
        <v>568</v>
      </c>
      <c r="D47" s="26" t="s">
        <v>571</v>
      </c>
      <c r="E47" s="66">
        <v>3</v>
      </c>
    </row>
    <row r="48" spans="1:6" x14ac:dyDescent="0.25">
      <c r="A48" s="81" t="s">
        <v>196</v>
      </c>
      <c r="B48" s="26" t="s">
        <v>219</v>
      </c>
      <c r="C48" s="26" t="s">
        <v>572</v>
      </c>
      <c r="D48" s="26" t="s">
        <v>573</v>
      </c>
      <c r="E48" s="66">
        <v>1</v>
      </c>
    </row>
    <row r="49" spans="1:6" x14ac:dyDescent="0.25">
      <c r="A49" s="81" t="s">
        <v>196</v>
      </c>
      <c r="B49" s="26" t="s">
        <v>219</v>
      </c>
      <c r="C49" s="26" t="s">
        <v>572</v>
      </c>
      <c r="D49" s="26" t="s">
        <v>574</v>
      </c>
      <c r="E49" s="66">
        <v>2</v>
      </c>
    </row>
    <row r="50" spans="1:6" x14ac:dyDescent="0.25">
      <c r="A50" s="81" t="s">
        <v>196</v>
      </c>
      <c r="B50" s="26" t="s">
        <v>219</v>
      </c>
      <c r="C50" s="26" t="s">
        <v>572</v>
      </c>
      <c r="D50" s="26" t="s">
        <v>575</v>
      </c>
      <c r="E50" s="66">
        <v>3</v>
      </c>
      <c r="F50" s="26" t="s">
        <v>575</v>
      </c>
    </row>
    <row r="51" spans="1:6" x14ac:dyDescent="0.25">
      <c r="A51" s="26" t="s">
        <v>191</v>
      </c>
      <c r="B51" s="64" t="s">
        <v>192</v>
      </c>
      <c r="C51" s="26" t="s">
        <v>576</v>
      </c>
      <c r="D51" s="26" t="s">
        <v>577</v>
      </c>
      <c r="E51" s="77">
        <v>0</v>
      </c>
    </row>
    <row r="52" spans="1:6" x14ac:dyDescent="0.25">
      <c r="A52" s="26" t="s">
        <v>191</v>
      </c>
      <c r="B52" s="64" t="s">
        <v>192</v>
      </c>
      <c r="C52" s="26" t="s">
        <v>576</v>
      </c>
      <c r="D52" s="26" t="s">
        <v>578</v>
      </c>
      <c r="E52" s="77">
        <v>0</v>
      </c>
      <c r="F52" s="26" t="s">
        <v>578</v>
      </c>
    </row>
    <row r="53" spans="1:6" x14ac:dyDescent="0.25">
      <c r="A53" s="26" t="s">
        <v>191</v>
      </c>
      <c r="B53" s="64" t="s">
        <v>192</v>
      </c>
      <c r="C53" s="26" t="s">
        <v>576</v>
      </c>
      <c r="D53" s="26" t="s">
        <v>579</v>
      </c>
      <c r="E53" s="77">
        <v>0</v>
      </c>
    </row>
    <row r="54" spans="1:6" x14ac:dyDescent="0.25">
      <c r="A54" s="26" t="s">
        <v>191</v>
      </c>
      <c r="B54" s="64" t="s">
        <v>193</v>
      </c>
      <c r="C54" s="26" t="s">
        <v>580</v>
      </c>
      <c r="D54" s="26" t="s">
        <v>581</v>
      </c>
      <c r="E54" s="77">
        <v>0</v>
      </c>
      <c r="F54" s="26" t="str">
        <f>D54</f>
        <v>I don't have any sustainability preferences</v>
      </c>
    </row>
    <row r="55" spans="1:6" x14ac:dyDescent="0.25">
      <c r="A55" s="26" t="s">
        <v>191</v>
      </c>
      <c r="B55" s="64" t="s">
        <v>193</v>
      </c>
      <c r="C55" s="26" t="s">
        <v>580</v>
      </c>
      <c r="D55" s="87" t="s">
        <v>636</v>
      </c>
      <c r="E55" s="77">
        <v>0</v>
      </c>
      <c r="F55" s="87"/>
    </row>
    <row r="56" spans="1:6" x14ac:dyDescent="0.25">
      <c r="A56" s="26" t="s">
        <v>191</v>
      </c>
      <c r="B56" s="64" t="s">
        <v>279</v>
      </c>
      <c r="C56" s="26" t="s">
        <v>582</v>
      </c>
      <c r="D56" s="26" t="s">
        <v>583</v>
      </c>
      <c r="E56" s="77">
        <v>0</v>
      </c>
      <c r="F56" s="26" t="s">
        <v>583</v>
      </c>
    </row>
    <row r="57" spans="1:6" x14ac:dyDescent="0.25">
      <c r="A57" s="26" t="s">
        <v>191</v>
      </c>
      <c r="B57" s="64" t="s">
        <v>279</v>
      </c>
      <c r="C57" s="26" t="s">
        <v>582</v>
      </c>
      <c r="D57" s="26" t="s">
        <v>584</v>
      </c>
      <c r="E57" s="77">
        <v>0</v>
      </c>
    </row>
    <row r="58" spans="1:6" x14ac:dyDescent="0.25">
      <c r="A58" s="26" t="s">
        <v>191</v>
      </c>
      <c r="B58" s="26" t="s">
        <v>280</v>
      </c>
      <c r="C58" s="26" t="s">
        <v>585</v>
      </c>
      <c r="D58" s="26" t="s">
        <v>586</v>
      </c>
      <c r="E58" s="77">
        <v>0</v>
      </c>
      <c r="F58" s="26" t="s">
        <v>586</v>
      </c>
    </row>
    <row r="59" spans="1:6" x14ac:dyDescent="0.25">
      <c r="A59" s="26" t="s">
        <v>191</v>
      </c>
      <c r="B59" s="26" t="s">
        <v>280</v>
      </c>
      <c r="C59" s="26" t="s">
        <v>585</v>
      </c>
      <c r="D59" s="26" t="s">
        <v>587</v>
      </c>
      <c r="E59" s="77">
        <v>0</v>
      </c>
    </row>
    <row r="60" spans="1:6" x14ac:dyDescent="0.25">
      <c r="A60" s="64" t="s">
        <v>472</v>
      </c>
      <c r="B60" s="64" t="s">
        <v>472</v>
      </c>
      <c r="C60" s="26" t="s">
        <v>588</v>
      </c>
      <c r="D60" s="26" t="s">
        <v>589</v>
      </c>
      <c r="E60" s="70">
        <v>0</v>
      </c>
      <c r="F60" s="26" t="s">
        <v>589</v>
      </c>
    </row>
    <row r="61" spans="1:6" x14ac:dyDescent="0.25">
      <c r="A61" s="64" t="s">
        <v>472</v>
      </c>
      <c r="B61" s="64" t="s">
        <v>472</v>
      </c>
      <c r="C61" s="26" t="s">
        <v>588</v>
      </c>
      <c r="D61" s="26" t="s">
        <v>524</v>
      </c>
      <c r="E61" s="70">
        <v>0</v>
      </c>
    </row>
    <row r="62" spans="1:6" x14ac:dyDescent="0.25">
      <c r="A62" s="64" t="s">
        <v>506</v>
      </c>
      <c r="B62" s="64" t="s">
        <v>506</v>
      </c>
      <c r="C62" s="26" t="s">
        <v>706</v>
      </c>
      <c r="D62" s="26" t="s">
        <v>702</v>
      </c>
      <c r="E62" s="70">
        <v>0</v>
      </c>
      <c r="F62" s="26" t="str">
        <f>D62</f>
        <v>I would appreciate the inclusion of private investments in the portfolio</v>
      </c>
    </row>
    <row r="63" spans="1:6" x14ac:dyDescent="0.25">
      <c r="A63" s="64" t="s">
        <v>506</v>
      </c>
      <c r="B63" s="64" t="s">
        <v>506</v>
      </c>
      <c r="C63" s="26" t="s">
        <v>706</v>
      </c>
      <c r="D63" s="26" t="s">
        <v>590</v>
      </c>
      <c r="E63" s="26">
        <v>0</v>
      </c>
    </row>
    <row r="64" spans="1:6" x14ac:dyDescent="0.25">
      <c r="A64" s="64"/>
    </row>
    <row r="65" spans="1:1" x14ac:dyDescent="0.25">
      <c r="A65" s="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C2726-2F07-A747-9308-47A5AB0A7CA7}">
  <sheetPr>
    <tabColor rgb="FFFFC000"/>
  </sheetPr>
  <dimension ref="A1:I64"/>
  <sheetViews>
    <sheetView topLeftCell="C31" workbookViewId="0">
      <selection activeCell="F52" sqref="F52"/>
    </sheetView>
  </sheetViews>
  <sheetFormatPr baseColWidth="10" defaultRowHeight="17" x14ac:dyDescent="0.25"/>
  <cols>
    <col min="1" max="1" width="24.5" style="26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15.83203125" style="26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322</v>
      </c>
      <c r="D2" s="26" t="s">
        <v>481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322</v>
      </c>
      <c r="D3" s="26" t="s">
        <v>483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322</v>
      </c>
      <c r="D4" s="26" t="s">
        <v>208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322</v>
      </c>
      <c r="D5" s="26" t="s">
        <v>201</v>
      </c>
      <c r="E5" s="70">
        <v>4</v>
      </c>
      <c r="F5" s="26" t="str">
        <f>D5</f>
        <v>om het te laten groeien op de langere termijn</v>
      </c>
    </row>
    <row r="6" spans="1:6" s="26" customFormat="1" x14ac:dyDescent="0.25">
      <c r="A6" s="64" t="s">
        <v>136</v>
      </c>
      <c r="B6" s="64" t="s">
        <v>136</v>
      </c>
      <c r="C6" s="26" t="s">
        <v>322</v>
      </c>
      <c r="D6" s="26" t="s">
        <v>207</v>
      </c>
      <c r="E6" s="70">
        <v>5</v>
      </c>
    </row>
    <row r="7" spans="1:6" s="26" customFormat="1" x14ac:dyDescent="0.25">
      <c r="A7" s="64" t="s">
        <v>136</v>
      </c>
      <c r="B7" s="64" t="s">
        <v>313</v>
      </c>
      <c r="C7" s="26" t="s">
        <v>310</v>
      </c>
      <c r="D7" s="26" t="s">
        <v>311</v>
      </c>
      <c r="E7" s="70">
        <v>0</v>
      </c>
      <c r="F7" s="26" t="str">
        <f>D7</f>
        <v>nee, dat is in het antwoord op de vorige vraag voldoende verwoord</v>
      </c>
    </row>
    <row r="8" spans="1:6" s="26" customFormat="1" x14ac:dyDescent="0.25">
      <c r="A8" s="64" t="s">
        <v>136</v>
      </c>
      <c r="B8" s="64" t="s">
        <v>313</v>
      </c>
      <c r="C8" s="26" t="s">
        <v>310</v>
      </c>
      <c r="D8" s="26" t="s">
        <v>312</v>
      </c>
      <c r="E8" s="70">
        <v>0</v>
      </c>
    </row>
    <row r="9" spans="1:6" s="26" customFormat="1" ht="16" x14ac:dyDescent="0.25">
      <c r="A9" s="26" t="s">
        <v>232</v>
      </c>
      <c r="B9" s="64" t="s">
        <v>446</v>
      </c>
      <c r="C9" s="26" t="s">
        <v>456</v>
      </c>
      <c r="D9" s="26" t="s">
        <v>332</v>
      </c>
      <c r="E9" s="65">
        <v>1</v>
      </c>
    </row>
    <row r="10" spans="1:6" s="26" customFormat="1" ht="16" x14ac:dyDescent="0.25">
      <c r="A10" s="26" t="s">
        <v>232</v>
      </c>
      <c r="B10" s="64" t="s">
        <v>446</v>
      </c>
      <c r="C10" s="26" t="s">
        <v>456</v>
      </c>
      <c r="D10" s="26" t="s">
        <v>333</v>
      </c>
      <c r="E10" s="65">
        <v>2</v>
      </c>
      <c r="F10" s="26" t="str">
        <f>D10</f>
        <v>is voldoende om ons bestedingspatroon te handhaven</v>
      </c>
    </row>
    <row r="11" spans="1:6" s="26" customFormat="1" ht="16" x14ac:dyDescent="0.25">
      <c r="A11" s="26" t="s">
        <v>232</v>
      </c>
      <c r="B11" s="64" t="s">
        <v>446</v>
      </c>
      <c r="C11" s="26" t="s">
        <v>456</v>
      </c>
      <c r="D11" s="26" t="s">
        <v>234</v>
      </c>
      <c r="E11" s="65">
        <v>3</v>
      </c>
    </row>
    <row r="12" spans="1:6" s="26" customFormat="1" ht="16" x14ac:dyDescent="0.25">
      <c r="A12" s="26" t="s">
        <v>232</v>
      </c>
      <c r="B12" s="64" t="s">
        <v>447</v>
      </c>
      <c r="C12" s="26" t="s">
        <v>453</v>
      </c>
      <c r="D12" s="26" t="s">
        <v>284</v>
      </c>
      <c r="E12" s="65">
        <v>1</v>
      </c>
    </row>
    <row r="13" spans="1:6" s="26" customFormat="1" ht="16" x14ac:dyDescent="0.25">
      <c r="A13" s="26" t="s">
        <v>232</v>
      </c>
      <c r="B13" s="64" t="s">
        <v>447</v>
      </c>
      <c r="C13" s="26" t="s">
        <v>453</v>
      </c>
      <c r="D13" s="26" t="s">
        <v>286</v>
      </c>
      <c r="E13" s="65">
        <v>2</v>
      </c>
    </row>
    <row r="14" spans="1:6" s="26" customFormat="1" ht="16" x14ac:dyDescent="0.25">
      <c r="A14" s="26" t="s">
        <v>232</v>
      </c>
      <c r="B14" s="64" t="s">
        <v>447</v>
      </c>
      <c r="C14" s="26" t="s">
        <v>453</v>
      </c>
      <c r="D14" s="26" t="s">
        <v>285</v>
      </c>
      <c r="E14" s="65">
        <v>3</v>
      </c>
      <c r="F14" s="26" t="str">
        <f>D14</f>
        <v xml:space="preserve">is vrij te beleggen </v>
      </c>
    </row>
    <row r="15" spans="1:6" s="26" customFormat="1" ht="16" x14ac:dyDescent="0.25">
      <c r="A15" s="26" t="s">
        <v>232</v>
      </c>
      <c r="B15" s="64" t="s">
        <v>138</v>
      </c>
      <c r="C15" s="26" t="s">
        <v>457</v>
      </c>
      <c r="D15" s="26" t="s">
        <v>236</v>
      </c>
      <c r="E15" s="65">
        <v>3</v>
      </c>
    </row>
    <row r="16" spans="1:6" s="26" customFormat="1" ht="16" x14ac:dyDescent="0.25">
      <c r="A16" s="26" t="s">
        <v>232</v>
      </c>
      <c r="B16" s="64" t="s">
        <v>138</v>
      </c>
      <c r="C16" s="26" t="s">
        <v>457</v>
      </c>
      <c r="D16" s="26" t="s">
        <v>206</v>
      </c>
      <c r="E16" s="65">
        <v>2</v>
      </c>
      <c r="F16" s="26" t="str">
        <f>D16</f>
        <v>is ongeveer de helft</v>
      </c>
    </row>
    <row r="17" spans="1:6" s="26" customFormat="1" ht="16" x14ac:dyDescent="0.25">
      <c r="A17" s="26" t="s">
        <v>232</v>
      </c>
      <c r="B17" s="64" t="s">
        <v>138</v>
      </c>
      <c r="C17" s="26" t="s">
        <v>457</v>
      </c>
      <c r="D17" s="26" t="s">
        <v>204</v>
      </c>
      <c r="E17" s="65">
        <v>1</v>
      </c>
    </row>
    <row r="18" spans="1:6" s="26" customFormat="1" ht="16" x14ac:dyDescent="0.25">
      <c r="A18" s="26" t="s">
        <v>232</v>
      </c>
      <c r="B18" s="64" t="s">
        <v>139</v>
      </c>
      <c r="C18" s="26" t="s">
        <v>323</v>
      </c>
      <c r="D18" s="26" t="s">
        <v>334</v>
      </c>
      <c r="E18" s="65">
        <v>1</v>
      </c>
    </row>
    <row r="19" spans="1:6" s="26" customFormat="1" ht="16" x14ac:dyDescent="0.25">
      <c r="A19" s="26" t="s">
        <v>232</v>
      </c>
      <c r="B19" s="64" t="s">
        <v>139</v>
      </c>
      <c r="C19" s="26" t="s">
        <v>323</v>
      </c>
      <c r="D19" s="26" t="s">
        <v>335</v>
      </c>
      <c r="E19" s="65">
        <v>2</v>
      </c>
    </row>
    <row r="20" spans="1:6" s="26" customFormat="1" ht="16" x14ac:dyDescent="0.25">
      <c r="A20" s="26" t="s">
        <v>232</v>
      </c>
      <c r="B20" s="64" t="s">
        <v>139</v>
      </c>
      <c r="C20" s="26" t="s">
        <v>323</v>
      </c>
      <c r="D20" s="26" t="s">
        <v>358</v>
      </c>
      <c r="E20" s="65">
        <v>3</v>
      </c>
      <c r="F20" s="26" t="str">
        <f>D20</f>
        <v>is meer dan voldoende en wij kunnen ons vermogen laten groeien, behoudens evt. onttrekkingen voor box3-belasting</v>
      </c>
    </row>
    <row r="21" spans="1:6" s="26" customFormat="1" ht="16" x14ac:dyDescent="0.25">
      <c r="A21" s="26" t="s">
        <v>232</v>
      </c>
      <c r="B21" s="26" t="s">
        <v>189</v>
      </c>
      <c r="C21" s="26" t="s">
        <v>324</v>
      </c>
      <c r="D21" s="26" t="s">
        <v>336</v>
      </c>
      <c r="E21" s="65">
        <v>1</v>
      </c>
    </row>
    <row r="22" spans="1:6" s="26" customFormat="1" ht="16" x14ac:dyDescent="0.25">
      <c r="A22" s="26" t="s">
        <v>232</v>
      </c>
      <c r="B22" s="26" t="s">
        <v>189</v>
      </c>
      <c r="C22" s="26" t="s">
        <v>324</v>
      </c>
      <c r="D22" s="26" t="s">
        <v>337</v>
      </c>
      <c r="E22" s="65">
        <v>2</v>
      </c>
      <c r="F22" s="26" t="str">
        <f>D22</f>
        <v>kunnen wij een waardedaling van ons beleggingen aan van ongeveer 25%</v>
      </c>
    </row>
    <row r="23" spans="1:6" s="26" customFormat="1" ht="16" x14ac:dyDescent="0.25">
      <c r="A23" s="26" t="s">
        <v>232</v>
      </c>
      <c r="B23" s="26" t="s">
        <v>189</v>
      </c>
      <c r="C23" s="26" t="s">
        <v>324</v>
      </c>
      <c r="D23" s="26" t="s">
        <v>338</v>
      </c>
      <c r="E23" s="65">
        <v>3</v>
      </c>
    </row>
    <row r="24" spans="1:6" s="26" customFormat="1" ht="16" x14ac:dyDescent="0.25">
      <c r="A24" s="26" t="s">
        <v>232</v>
      </c>
      <c r="B24" s="64" t="s">
        <v>217</v>
      </c>
      <c r="C24" s="26" t="s">
        <v>325</v>
      </c>
      <c r="D24" s="26" t="s">
        <v>436</v>
      </c>
      <c r="E24" s="90">
        <v>0</v>
      </c>
    </row>
    <row r="25" spans="1:6" s="26" customFormat="1" ht="16" x14ac:dyDescent="0.25">
      <c r="A25" s="26" t="s">
        <v>232</v>
      </c>
      <c r="B25" s="64" t="s">
        <v>217</v>
      </c>
      <c r="C25" s="26" t="s">
        <v>325</v>
      </c>
      <c r="D25" s="26" t="s">
        <v>435</v>
      </c>
      <c r="E25" s="90">
        <v>0</v>
      </c>
      <c r="F25" s="26" t="str">
        <f>D25</f>
        <v>is belegd in een portefeuille aandelen en obligaties</v>
      </c>
    </row>
    <row r="26" spans="1:6" s="26" customFormat="1" ht="16" x14ac:dyDescent="0.25">
      <c r="A26" s="26" t="s">
        <v>232</v>
      </c>
      <c r="B26" s="64" t="s">
        <v>217</v>
      </c>
      <c r="C26" s="26" t="s">
        <v>325</v>
      </c>
      <c r="D26" s="26" t="s">
        <v>295</v>
      </c>
      <c r="E26" s="90">
        <v>0</v>
      </c>
    </row>
    <row r="27" spans="1:6" s="26" customFormat="1" ht="16" x14ac:dyDescent="0.25">
      <c r="A27" s="75" t="s">
        <v>226</v>
      </c>
      <c r="B27" s="64" t="s">
        <v>221</v>
      </c>
      <c r="C27" s="26" t="s">
        <v>326</v>
      </c>
      <c r="D27" s="26" t="s">
        <v>339</v>
      </c>
      <c r="E27" s="76">
        <v>1</v>
      </c>
    </row>
    <row r="28" spans="1:6" s="26" customFormat="1" ht="16" x14ac:dyDescent="0.25">
      <c r="A28" s="75" t="s">
        <v>226</v>
      </c>
      <c r="B28" s="64" t="s">
        <v>221</v>
      </c>
      <c r="C28" s="26" t="s">
        <v>326</v>
      </c>
      <c r="D28" s="26" t="s">
        <v>340</v>
      </c>
      <c r="E28" s="76">
        <v>2</v>
      </c>
      <c r="F28" s="26" t="str">
        <f>D28</f>
        <v>is gemiddeld en wij volgen af en toe het financiële nieuws</v>
      </c>
    </row>
    <row r="29" spans="1:6" s="26" customFormat="1" ht="16" x14ac:dyDescent="0.25">
      <c r="A29" s="75" t="s">
        <v>226</v>
      </c>
      <c r="B29" s="64" t="s">
        <v>221</v>
      </c>
      <c r="C29" s="26" t="s">
        <v>326</v>
      </c>
      <c r="D29" s="26" t="s">
        <v>296</v>
      </c>
      <c r="E29" s="76">
        <v>3</v>
      </c>
    </row>
    <row r="30" spans="1:6" s="26" customFormat="1" ht="16" x14ac:dyDescent="0.25">
      <c r="A30" s="75" t="s">
        <v>226</v>
      </c>
      <c r="B30" s="64" t="s">
        <v>231</v>
      </c>
      <c r="C30" s="26" t="s">
        <v>327</v>
      </c>
      <c r="D30" s="26" t="s">
        <v>339</v>
      </c>
      <c r="E30" s="76">
        <v>1</v>
      </c>
    </row>
    <row r="31" spans="1:6" s="26" customFormat="1" ht="16" x14ac:dyDescent="0.25">
      <c r="A31" s="75" t="s">
        <v>226</v>
      </c>
      <c r="B31" s="64" t="s">
        <v>231</v>
      </c>
      <c r="C31" s="26" t="s">
        <v>327</v>
      </c>
      <c r="D31" s="26" t="s">
        <v>341</v>
      </c>
      <c r="E31" s="76">
        <v>2</v>
      </c>
      <c r="F31" s="26" t="str">
        <f>D31</f>
        <v>is aanwezig, wij weten wat aandelen en obligaties zijn</v>
      </c>
    </row>
    <row r="32" spans="1:6" s="26" customFormat="1" ht="16" x14ac:dyDescent="0.25">
      <c r="A32" s="75" t="s">
        <v>226</v>
      </c>
      <c r="B32" s="64" t="s">
        <v>231</v>
      </c>
      <c r="C32" s="26" t="s">
        <v>327</v>
      </c>
      <c r="D32" s="26" t="s">
        <v>342</v>
      </c>
      <c r="E32" s="76">
        <v>3</v>
      </c>
    </row>
    <row r="33" spans="1:6" s="26" customFormat="1" ht="16" x14ac:dyDescent="0.25">
      <c r="A33" s="75" t="s">
        <v>226</v>
      </c>
      <c r="B33" s="64" t="s">
        <v>195</v>
      </c>
      <c r="C33" s="26" t="s">
        <v>211</v>
      </c>
      <c r="D33" s="26" t="s">
        <v>343</v>
      </c>
      <c r="E33" s="76">
        <v>1</v>
      </c>
    </row>
    <row r="34" spans="1:6" s="26" customFormat="1" ht="16" x14ac:dyDescent="0.25">
      <c r="A34" s="75" t="s">
        <v>226</v>
      </c>
      <c r="B34" s="64" t="s">
        <v>195</v>
      </c>
      <c r="C34" s="26" t="s">
        <v>211</v>
      </c>
      <c r="D34" s="26" t="s">
        <v>344</v>
      </c>
      <c r="E34" s="76">
        <v>3</v>
      </c>
      <c r="F34" s="26" t="str">
        <f>D34</f>
        <v>hebben wij ervaring, vooral met beleggingsadvies en/of execution only</v>
      </c>
    </row>
    <row r="35" spans="1:6" s="26" customFormat="1" ht="16" x14ac:dyDescent="0.25">
      <c r="A35" s="75" t="s">
        <v>226</v>
      </c>
      <c r="B35" s="64" t="s">
        <v>195</v>
      </c>
      <c r="C35" s="26" t="s">
        <v>211</v>
      </c>
      <c r="D35" s="26" t="s">
        <v>345</v>
      </c>
      <c r="E35" s="76">
        <v>2</v>
      </c>
    </row>
    <row r="36" spans="1:6" s="26" customFormat="1" ht="16" x14ac:dyDescent="0.25">
      <c r="A36" s="75" t="s">
        <v>226</v>
      </c>
      <c r="B36" s="64" t="s">
        <v>194</v>
      </c>
      <c r="C36" s="26" t="s">
        <v>328</v>
      </c>
      <c r="D36" s="26" t="s">
        <v>346</v>
      </c>
      <c r="E36" s="76">
        <v>1</v>
      </c>
    </row>
    <row r="37" spans="1:6" s="26" customFormat="1" ht="16" x14ac:dyDescent="0.25">
      <c r="A37" s="75" t="s">
        <v>226</v>
      </c>
      <c r="B37" s="64" t="s">
        <v>194</v>
      </c>
      <c r="C37" s="26" t="s">
        <v>328</v>
      </c>
      <c r="D37" s="26" t="s">
        <v>289</v>
      </c>
      <c r="E37" s="76">
        <v>2</v>
      </c>
      <c r="F37" s="26" t="str">
        <f>D37</f>
        <v>is beperkt</v>
      </c>
    </row>
    <row r="38" spans="1:6" s="26" customFormat="1" ht="16" x14ac:dyDescent="0.25">
      <c r="A38" s="75" t="s">
        <v>226</v>
      </c>
      <c r="B38" s="64" t="s">
        <v>194</v>
      </c>
      <c r="C38" s="26" t="s">
        <v>328</v>
      </c>
      <c r="D38" s="26" t="s">
        <v>290</v>
      </c>
      <c r="E38" s="76">
        <v>3</v>
      </c>
    </row>
    <row r="39" spans="1:6" s="26" customFormat="1" ht="16" x14ac:dyDescent="0.25">
      <c r="A39" s="81" t="s">
        <v>196</v>
      </c>
      <c r="B39" s="64" t="s">
        <v>190</v>
      </c>
      <c r="C39" s="26" t="s">
        <v>439</v>
      </c>
      <c r="D39" s="26" t="s">
        <v>347</v>
      </c>
      <c r="E39" s="66">
        <v>1</v>
      </c>
    </row>
    <row r="40" spans="1:6" s="26" customFormat="1" ht="16" x14ac:dyDescent="0.25">
      <c r="A40" s="81" t="s">
        <v>196</v>
      </c>
      <c r="B40" s="64" t="s">
        <v>190</v>
      </c>
      <c r="C40" s="26" t="s">
        <v>439</v>
      </c>
      <c r="D40" s="26" t="s">
        <v>420</v>
      </c>
      <c r="E40" s="66">
        <v>2</v>
      </c>
      <c r="F40" s="26" t="str">
        <f>D40</f>
        <v>zijn wij bereid, op enig moment, ongeveer 25% waardedaling te accepteren</v>
      </c>
    </row>
    <row r="41" spans="1:6" s="26" customFormat="1" ht="16" x14ac:dyDescent="0.25">
      <c r="A41" s="81" t="s">
        <v>196</v>
      </c>
      <c r="B41" s="64" t="s">
        <v>190</v>
      </c>
      <c r="C41" s="26" t="s">
        <v>439</v>
      </c>
      <c r="D41" s="26" t="s">
        <v>421</v>
      </c>
      <c r="E41" s="66">
        <v>3</v>
      </c>
    </row>
    <row r="42" spans="1:6" s="26" customFormat="1" ht="16" x14ac:dyDescent="0.25">
      <c r="A42" s="81" t="s">
        <v>196</v>
      </c>
      <c r="B42" s="64" t="s">
        <v>141</v>
      </c>
      <c r="C42" s="26" t="s">
        <v>329</v>
      </c>
      <c r="D42" s="26" t="s">
        <v>348</v>
      </c>
      <c r="E42" s="66">
        <v>1</v>
      </c>
    </row>
    <row r="43" spans="1:6" s="26" customFormat="1" ht="16" x14ac:dyDescent="0.25">
      <c r="A43" s="81" t="s">
        <v>196</v>
      </c>
      <c r="B43" s="64" t="s">
        <v>141</v>
      </c>
      <c r="C43" s="26" t="s">
        <v>329</v>
      </c>
      <c r="D43" s="26" t="s">
        <v>349</v>
      </c>
      <c r="E43" s="66">
        <v>2</v>
      </c>
      <c r="F43" s="26" t="str">
        <f>D43</f>
        <v>Wij wachten de kwartaalrapportage af</v>
      </c>
    </row>
    <row r="44" spans="1:6" s="26" customFormat="1" ht="16" x14ac:dyDescent="0.25">
      <c r="A44" s="81" t="s">
        <v>196</v>
      </c>
      <c r="B44" s="64" t="s">
        <v>141</v>
      </c>
      <c r="C44" s="26" t="s">
        <v>329</v>
      </c>
      <c r="D44" s="26" t="s">
        <v>350</v>
      </c>
      <c r="E44" s="66">
        <v>3</v>
      </c>
    </row>
    <row r="45" spans="1:6" s="26" customFormat="1" ht="16" x14ac:dyDescent="0.25">
      <c r="A45" s="81" t="s">
        <v>196</v>
      </c>
      <c r="B45" s="64" t="s">
        <v>218</v>
      </c>
      <c r="C45" s="26" t="s">
        <v>469</v>
      </c>
      <c r="D45" s="26" t="s">
        <v>351</v>
      </c>
      <c r="E45" s="66">
        <v>1</v>
      </c>
    </row>
    <row r="46" spans="1:6" s="26" customFormat="1" ht="16" x14ac:dyDescent="0.25">
      <c r="A46" s="81" t="s">
        <v>196</v>
      </c>
      <c r="B46" s="64" t="s">
        <v>218</v>
      </c>
      <c r="C46" s="26" t="s">
        <v>469</v>
      </c>
      <c r="D46" s="26" t="s">
        <v>352</v>
      </c>
      <c r="E46" s="66">
        <v>2</v>
      </c>
      <c r="F46" s="26" t="str">
        <f>D46</f>
        <v>Wij kunnen onze beleggingen wel tien jaar aanhouden en hebben er geen tussentijdse plannen mee</v>
      </c>
    </row>
    <row r="47" spans="1:6" s="26" customFormat="1" ht="16" x14ac:dyDescent="0.25">
      <c r="A47" s="81" t="s">
        <v>196</v>
      </c>
      <c r="B47" s="64" t="s">
        <v>218</v>
      </c>
      <c r="C47" s="26" t="s">
        <v>469</v>
      </c>
      <c r="D47" s="26" t="s">
        <v>476</v>
      </c>
      <c r="E47" s="66">
        <v>3</v>
      </c>
    </row>
    <row r="48" spans="1:6" s="26" customFormat="1" ht="16" x14ac:dyDescent="0.25">
      <c r="A48" s="81" t="s">
        <v>196</v>
      </c>
      <c r="B48" s="64" t="s">
        <v>219</v>
      </c>
      <c r="C48" s="26" t="s">
        <v>330</v>
      </c>
      <c r="D48" s="26" t="s">
        <v>362</v>
      </c>
      <c r="E48" s="66">
        <v>1</v>
      </c>
    </row>
    <row r="49" spans="1:6" s="26" customFormat="1" ht="16" x14ac:dyDescent="0.25">
      <c r="A49" s="81" t="s">
        <v>196</v>
      </c>
      <c r="B49" s="64" t="s">
        <v>219</v>
      </c>
      <c r="C49" s="26" t="s">
        <v>330</v>
      </c>
      <c r="D49" s="26" t="s">
        <v>360</v>
      </c>
      <c r="E49" s="66">
        <v>2</v>
      </c>
      <c r="F49" s="26" t="str">
        <f>D49</f>
        <v>Dat zou teleurstellend zijn</v>
      </c>
    </row>
    <row r="50" spans="1:6" s="26" customFormat="1" ht="16" x14ac:dyDescent="0.25">
      <c r="A50" s="81" t="s">
        <v>196</v>
      </c>
      <c r="B50" s="64" t="s">
        <v>219</v>
      </c>
      <c r="C50" s="26" t="s">
        <v>330</v>
      </c>
      <c r="D50" s="26" t="s">
        <v>361</v>
      </c>
      <c r="E50" s="66">
        <v>3</v>
      </c>
    </row>
    <row r="51" spans="1:6" s="26" customFormat="1" ht="16" x14ac:dyDescent="0.25">
      <c r="A51" s="26" t="s">
        <v>191</v>
      </c>
      <c r="B51" s="64" t="s">
        <v>192</v>
      </c>
      <c r="C51" s="26" t="s">
        <v>331</v>
      </c>
      <c r="D51" s="26" t="s">
        <v>353</v>
      </c>
      <c r="E51" s="77">
        <v>0</v>
      </c>
    </row>
    <row r="52" spans="1:6" s="26" customFormat="1" ht="16" x14ac:dyDescent="0.25">
      <c r="A52" s="26" t="s">
        <v>191</v>
      </c>
      <c r="B52" s="64" t="s">
        <v>192</v>
      </c>
      <c r="C52" s="26" t="s">
        <v>331</v>
      </c>
      <c r="D52" s="26" t="s">
        <v>214</v>
      </c>
      <c r="E52" s="77">
        <v>0</v>
      </c>
      <c r="F52" s="26" t="str">
        <f>D52</f>
        <v>spelen duurzaamheidsaspecten geen bijzondere rol</v>
      </c>
    </row>
    <row r="53" spans="1:6" s="26" customFormat="1" ht="16" x14ac:dyDescent="0.25">
      <c r="A53" s="26" t="s">
        <v>191</v>
      </c>
      <c r="B53" s="64" t="s">
        <v>192</v>
      </c>
      <c r="C53" s="26" t="s">
        <v>331</v>
      </c>
      <c r="D53" s="26" t="s">
        <v>215</v>
      </c>
      <c r="E53" s="77">
        <v>0</v>
      </c>
    </row>
    <row r="54" spans="1:6" s="26" customFormat="1" ht="16" x14ac:dyDescent="0.25">
      <c r="A54" s="26" t="s">
        <v>191</v>
      </c>
      <c r="B54" s="64" t="s">
        <v>193</v>
      </c>
      <c r="C54" s="26" t="s">
        <v>216</v>
      </c>
      <c r="D54" s="26" t="s">
        <v>354</v>
      </c>
      <c r="E54" s="77">
        <v>0</v>
      </c>
      <c r="F54" s="26" t="str">
        <f>D54</f>
        <v>hebben wij geen duurzaamheidsvoorkeuren</v>
      </c>
    </row>
    <row r="55" spans="1:6" s="26" customFormat="1" ht="16" x14ac:dyDescent="0.25">
      <c r="A55" s="26" t="s">
        <v>191</v>
      </c>
      <c r="B55" s="64" t="s">
        <v>193</v>
      </c>
      <c r="C55" s="26" t="s">
        <v>216</v>
      </c>
      <c r="D55" s="87" t="s">
        <v>357</v>
      </c>
      <c r="E55" s="77">
        <v>0</v>
      </c>
    </row>
    <row r="56" spans="1:6" s="26" customFormat="1" ht="16" x14ac:dyDescent="0.25">
      <c r="A56" s="26" t="s">
        <v>191</v>
      </c>
      <c r="B56" s="64" t="s">
        <v>279</v>
      </c>
      <c r="C56" s="26" t="s">
        <v>463</v>
      </c>
      <c r="D56" s="26" t="s">
        <v>373</v>
      </c>
      <c r="E56" s="77">
        <v>0</v>
      </c>
      <c r="F56" s="26" t="str">
        <f>D56</f>
        <v>willen wij dat dit meer is dan een kwart</v>
      </c>
    </row>
    <row r="57" spans="1:6" s="26" customFormat="1" ht="16" x14ac:dyDescent="0.25">
      <c r="A57" s="26" t="s">
        <v>191</v>
      </c>
      <c r="B57" s="64" t="s">
        <v>279</v>
      </c>
      <c r="C57" s="26" t="s">
        <v>463</v>
      </c>
      <c r="D57" s="26" t="s">
        <v>355</v>
      </c>
      <c r="E57" s="77">
        <v>0</v>
      </c>
    </row>
    <row r="58" spans="1:6" s="26" customFormat="1" ht="16" x14ac:dyDescent="0.25">
      <c r="A58" s="26" t="s">
        <v>191</v>
      </c>
      <c r="B58" s="26" t="s">
        <v>280</v>
      </c>
      <c r="C58" s="26" t="s">
        <v>464</v>
      </c>
      <c r="D58" s="26" t="s">
        <v>356</v>
      </c>
      <c r="E58" s="77">
        <v>0</v>
      </c>
      <c r="F58" s="26" t="str">
        <f>D58</f>
        <v>zijn  geen vereiste voor de invulling van onze portefeuille</v>
      </c>
    </row>
    <row r="59" spans="1:6" x14ac:dyDescent="0.25">
      <c r="A59" s="26" t="s">
        <v>191</v>
      </c>
      <c r="B59" s="26" t="s">
        <v>280</v>
      </c>
      <c r="C59" s="26" t="s">
        <v>464</v>
      </c>
      <c r="D59" s="26" t="s">
        <v>391</v>
      </c>
      <c r="E59" s="77">
        <v>0</v>
      </c>
    </row>
    <row r="60" spans="1:6" s="26" customFormat="1" x14ac:dyDescent="0.25">
      <c r="A60" s="64" t="s">
        <v>472</v>
      </c>
      <c r="B60" s="64" t="s">
        <v>472</v>
      </c>
      <c r="C60" s="26" t="s">
        <v>473</v>
      </c>
      <c r="D60" s="26" t="s">
        <v>474</v>
      </c>
      <c r="E60" s="70">
        <v>0</v>
      </c>
      <c r="F60" s="26" t="str">
        <f>D60</f>
        <v>nee, dat is niet nodig</v>
      </c>
    </row>
    <row r="61" spans="1:6" x14ac:dyDescent="0.25">
      <c r="A61" s="64" t="s">
        <v>472</v>
      </c>
      <c r="B61" s="64" t="s">
        <v>472</v>
      </c>
      <c r="C61" s="26" t="s">
        <v>473</v>
      </c>
      <c r="D61" s="26" t="s">
        <v>312</v>
      </c>
      <c r="E61" s="70">
        <v>0</v>
      </c>
    </row>
    <row r="62" spans="1:6" x14ac:dyDescent="0.25">
      <c r="A62" s="64" t="s">
        <v>506</v>
      </c>
      <c r="B62" s="64" t="s">
        <v>506</v>
      </c>
      <c r="C62" s="26" t="s">
        <v>509</v>
      </c>
      <c r="D62" s="26" t="s">
        <v>510</v>
      </c>
      <c r="E62" s="70">
        <v>0</v>
      </c>
      <c r="F62" s="26" t="s">
        <v>510</v>
      </c>
    </row>
    <row r="63" spans="1:6" x14ac:dyDescent="0.25">
      <c r="A63" s="64" t="s">
        <v>506</v>
      </c>
      <c r="B63" s="64" t="s">
        <v>506</v>
      </c>
      <c r="C63" s="26" t="s">
        <v>509</v>
      </c>
      <c r="D63" s="26" t="s">
        <v>511</v>
      </c>
      <c r="E63" s="26">
        <v>0</v>
      </c>
    </row>
    <row r="64" spans="1:6" x14ac:dyDescent="0.25">
      <c r="A64" s="64"/>
      <c r="B64" s="64"/>
      <c r="E64" s="7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F470-B3CE-BB42-8674-DE6EE56B39FA}">
  <sheetPr>
    <tabColor rgb="FFFFC000"/>
  </sheetPr>
  <dimension ref="A1:I64"/>
  <sheetViews>
    <sheetView topLeftCell="E6" workbookViewId="0">
      <selection activeCell="F25" sqref="F25"/>
    </sheetView>
  </sheetViews>
  <sheetFormatPr baseColWidth="10" defaultRowHeight="17" x14ac:dyDescent="0.25"/>
  <cols>
    <col min="1" max="1" width="24.5" style="26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15.83203125" style="26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592</v>
      </c>
      <c r="D2" s="26" t="s">
        <v>593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592</v>
      </c>
      <c r="D3" s="26" t="s">
        <v>518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592</v>
      </c>
      <c r="D4" s="26" t="s">
        <v>519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592</v>
      </c>
      <c r="D5" s="26" t="s">
        <v>520</v>
      </c>
      <c r="E5" s="70">
        <v>4</v>
      </c>
      <c r="F5" s="26" t="s">
        <v>520</v>
      </c>
    </row>
    <row r="6" spans="1:6" s="26" customFormat="1" x14ac:dyDescent="0.25">
      <c r="A6" s="64" t="s">
        <v>136</v>
      </c>
      <c r="B6" s="64" t="s">
        <v>136</v>
      </c>
      <c r="C6" s="26" t="s">
        <v>592</v>
      </c>
      <c r="D6" s="26" t="s">
        <v>521</v>
      </c>
      <c r="E6" s="70">
        <v>5</v>
      </c>
    </row>
    <row r="7" spans="1:6" s="26" customFormat="1" x14ac:dyDescent="0.25">
      <c r="A7" s="64" t="s">
        <v>136</v>
      </c>
      <c r="B7" s="64" t="s">
        <v>313</v>
      </c>
      <c r="C7" s="26" t="s">
        <v>522</v>
      </c>
      <c r="D7" s="26" t="s">
        <v>523</v>
      </c>
      <c r="E7" s="70">
        <v>0</v>
      </c>
      <c r="F7" s="26" t="s">
        <v>523</v>
      </c>
    </row>
    <row r="8" spans="1:6" s="26" customFormat="1" x14ac:dyDescent="0.25">
      <c r="A8" s="64" t="s">
        <v>136</v>
      </c>
      <c r="B8" s="64" t="s">
        <v>313</v>
      </c>
      <c r="C8" s="26" t="s">
        <v>522</v>
      </c>
      <c r="D8" s="26" t="s">
        <v>524</v>
      </c>
      <c r="E8" s="70">
        <v>0</v>
      </c>
    </row>
    <row r="9" spans="1:6" s="26" customFormat="1" ht="16" x14ac:dyDescent="0.25">
      <c r="A9" s="26" t="s">
        <v>232</v>
      </c>
      <c r="B9" s="64" t="s">
        <v>446</v>
      </c>
      <c r="C9" s="26" t="s">
        <v>594</v>
      </c>
      <c r="D9" s="26" t="s">
        <v>595</v>
      </c>
      <c r="E9" s="65">
        <v>1</v>
      </c>
    </row>
    <row r="10" spans="1:6" s="26" customFormat="1" ht="16" x14ac:dyDescent="0.25">
      <c r="A10" s="26" t="s">
        <v>232</v>
      </c>
      <c r="B10" s="64" t="s">
        <v>446</v>
      </c>
      <c r="C10" s="26" t="s">
        <v>594</v>
      </c>
      <c r="D10" s="26" t="s">
        <v>596</v>
      </c>
      <c r="E10" s="65">
        <v>2</v>
      </c>
      <c r="F10" s="26" t="s">
        <v>596</v>
      </c>
    </row>
    <row r="11" spans="1:6" s="26" customFormat="1" ht="16" x14ac:dyDescent="0.25">
      <c r="A11" s="26" t="s">
        <v>232</v>
      </c>
      <c r="B11" s="64" t="s">
        <v>446</v>
      </c>
      <c r="C11" s="26" t="s">
        <v>594</v>
      </c>
      <c r="D11" s="26" t="s">
        <v>528</v>
      </c>
      <c r="E11" s="65">
        <v>3</v>
      </c>
    </row>
    <row r="12" spans="1:6" s="26" customFormat="1" ht="16" x14ac:dyDescent="0.25">
      <c r="A12" s="26" t="s">
        <v>232</v>
      </c>
      <c r="B12" s="64" t="s">
        <v>447</v>
      </c>
      <c r="C12" s="26" t="s">
        <v>597</v>
      </c>
      <c r="D12" s="26" t="s">
        <v>530</v>
      </c>
      <c r="E12" s="65">
        <v>1</v>
      </c>
    </row>
    <row r="13" spans="1:6" s="26" customFormat="1" ht="16" x14ac:dyDescent="0.25">
      <c r="A13" s="26" t="s">
        <v>232</v>
      </c>
      <c r="B13" s="64" t="s">
        <v>447</v>
      </c>
      <c r="C13" s="26" t="s">
        <v>597</v>
      </c>
      <c r="D13" s="26" t="s">
        <v>531</v>
      </c>
      <c r="E13" s="65">
        <v>2</v>
      </c>
    </row>
    <row r="14" spans="1:6" s="26" customFormat="1" ht="16" x14ac:dyDescent="0.25">
      <c r="A14" s="26" t="s">
        <v>232</v>
      </c>
      <c r="B14" s="64" t="s">
        <v>447</v>
      </c>
      <c r="C14" s="26" t="s">
        <v>597</v>
      </c>
      <c r="D14" s="26" t="s">
        <v>532</v>
      </c>
      <c r="E14" s="65">
        <v>3</v>
      </c>
      <c r="F14" s="26" t="s">
        <v>532</v>
      </c>
    </row>
    <row r="15" spans="1:6" s="26" customFormat="1" ht="16" x14ac:dyDescent="0.25">
      <c r="A15" s="26" t="s">
        <v>232</v>
      </c>
      <c r="B15" s="64" t="s">
        <v>138</v>
      </c>
      <c r="C15" s="26" t="s">
        <v>598</v>
      </c>
      <c r="D15" s="26" t="s">
        <v>534</v>
      </c>
      <c r="E15" s="65">
        <v>3</v>
      </c>
    </row>
    <row r="16" spans="1:6" s="26" customFormat="1" ht="16" x14ac:dyDescent="0.25">
      <c r="A16" s="26" t="s">
        <v>232</v>
      </c>
      <c r="B16" s="64" t="s">
        <v>138</v>
      </c>
      <c r="C16" s="26" t="s">
        <v>598</v>
      </c>
      <c r="D16" s="26" t="s">
        <v>535</v>
      </c>
      <c r="E16" s="65">
        <v>2</v>
      </c>
      <c r="F16" s="26" t="s">
        <v>535</v>
      </c>
    </row>
    <row r="17" spans="1:6" s="26" customFormat="1" ht="16" x14ac:dyDescent="0.25">
      <c r="A17" s="26" t="s">
        <v>232</v>
      </c>
      <c r="B17" s="64" t="s">
        <v>138</v>
      </c>
      <c r="C17" s="26" t="s">
        <v>598</v>
      </c>
      <c r="D17" s="26" t="s">
        <v>536</v>
      </c>
      <c r="E17" s="65">
        <v>1</v>
      </c>
    </row>
    <row r="18" spans="1:6" s="26" customFormat="1" ht="16" x14ac:dyDescent="0.25">
      <c r="A18" s="26" t="s">
        <v>232</v>
      </c>
      <c r="B18" s="64" t="s">
        <v>139</v>
      </c>
      <c r="C18" s="26" t="s">
        <v>599</v>
      </c>
      <c r="D18" s="26" t="s">
        <v>600</v>
      </c>
      <c r="E18" s="65">
        <v>1</v>
      </c>
    </row>
    <row r="19" spans="1:6" s="26" customFormat="1" ht="16" x14ac:dyDescent="0.25">
      <c r="A19" s="26" t="s">
        <v>232</v>
      </c>
      <c r="B19" s="64" t="s">
        <v>139</v>
      </c>
      <c r="C19" s="26" t="s">
        <v>599</v>
      </c>
      <c r="D19" s="26" t="s">
        <v>601</v>
      </c>
      <c r="E19" s="65">
        <v>2</v>
      </c>
    </row>
    <row r="20" spans="1:6" s="26" customFormat="1" ht="16" x14ac:dyDescent="0.25">
      <c r="A20" s="26" t="s">
        <v>232</v>
      </c>
      <c r="B20" s="64" t="s">
        <v>139</v>
      </c>
      <c r="C20" s="26" t="s">
        <v>599</v>
      </c>
      <c r="D20" s="26" t="s">
        <v>602</v>
      </c>
      <c r="E20" s="65">
        <v>3</v>
      </c>
      <c r="F20" s="26" t="s">
        <v>602</v>
      </c>
    </row>
    <row r="21" spans="1:6" s="26" customFormat="1" ht="16" x14ac:dyDescent="0.25">
      <c r="A21" s="26" t="s">
        <v>232</v>
      </c>
      <c r="B21" s="26" t="s">
        <v>189</v>
      </c>
      <c r="C21" s="26" t="s">
        <v>603</v>
      </c>
      <c r="D21" s="26" t="s">
        <v>604</v>
      </c>
      <c r="E21" s="65">
        <v>1</v>
      </c>
    </row>
    <row r="22" spans="1:6" s="26" customFormat="1" ht="16" x14ac:dyDescent="0.25">
      <c r="A22" s="26" t="s">
        <v>232</v>
      </c>
      <c r="B22" s="26" t="s">
        <v>189</v>
      </c>
      <c r="C22" s="26" t="s">
        <v>603</v>
      </c>
      <c r="D22" s="26" t="s">
        <v>605</v>
      </c>
      <c r="E22" s="65">
        <v>2</v>
      </c>
      <c r="F22" s="26" t="s">
        <v>605</v>
      </c>
    </row>
    <row r="23" spans="1:6" s="26" customFormat="1" ht="16" x14ac:dyDescent="0.25">
      <c r="A23" s="26" t="s">
        <v>232</v>
      </c>
      <c r="B23" s="26" t="s">
        <v>189</v>
      </c>
      <c r="C23" s="26" t="s">
        <v>603</v>
      </c>
      <c r="D23" s="26" t="s">
        <v>606</v>
      </c>
      <c r="E23" s="65">
        <v>3</v>
      </c>
    </row>
    <row r="24" spans="1:6" s="26" customFormat="1" ht="16" x14ac:dyDescent="0.25">
      <c r="A24" s="26" t="s">
        <v>232</v>
      </c>
      <c r="B24" s="64" t="s">
        <v>217</v>
      </c>
      <c r="C24" s="26" t="s">
        <v>607</v>
      </c>
      <c r="D24" s="26" t="s">
        <v>545</v>
      </c>
      <c r="E24" s="90">
        <v>0</v>
      </c>
    </row>
    <row r="25" spans="1:6" s="26" customFormat="1" ht="16" x14ac:dyDescent="0.25">
      <c r="A25" s="26" t="s">
        <v>232</v>
      </c>
      <c r="B25" s="64" t="s">
        <v>217</v>
      </c>
      <c r="C25" s="26" t="s">
        <v>607</v>
      </c>
      <c r="D25" s="26" t="s">
        <v>707</v>
      </c>
      <c r="E25" s="90">
        <v>0</v>
      </c>
      <c r="F25" s="26" t="s">
        <v>707</v>
      </c>
    </row>
    <row r="26" spans="1:6" s="26" customFormat="1" ht="16" x14ac:dyDescent="0.25">
      <c r="A26" s="26" t="s">
        <v>232</v>
      </c>
      <c r="B26" s="64" t="s">
        <v>217</v>
      </c>
      <c r="C26" s="26" t="s">
        <v>607</v>
      </c>
      <c r="D26" s="26" t="s">
        <v>546</v>
      </c>
      <c r="E26" s="90">
        <v>0</v>
      </c>
    </row>
    <row r="27" spans="1:6" s="26" customFormat="1" ht="16" x14ac:dyDescent="0.25">
      <c r="A27" s="75" t="s">
        <v>226</v>
      </c>
      <c r="B27" s="64" t="s">
        <v>221</v>
      </c>
      <c r="C27" s="26" t="s">
        <v>608</v>
      </c>
      <c r="D27" s="26" t="s">
        <v>609</v>
      </c>
      <c r="E27" s="76">
        <v>1</v>
      </c>
    </row>
    <row r="28" spans="1:6" s="26" customFormat="1" ht="16" x14ac:dyDescent="0.25">
      <c r="A28" s="75" t="s">
        <v>226</v>
      </c>
      <c r="B28" s="64" t="s">
        <v>221</v>
      </c>
      <c r="C28" s="26" t="s">
        <v>608</v>
      </c>
      <c r="D28" s="26" t="s">
        <v>610</v>
      </c>
      <c r="E28" s="76">
        <v>2</v>
      </c>
      <c r="F28" s="26" t="s">
        <v>610</v>
      </c>
    </row>
    <row r="29" spans="1:6" s="26" customFormat="1" ht="16" x14ac:dyDescent="0.25">
      <c r="A29" s="75" t="s">
        <v>226</v>
      </c>
      <c r="B29" s="64" t="s">
        <v>221</v>
      </c>
      <c r="C29" s="26" t="s">
        <v>608</v>
      </c>
      <c r="D29" s="26" t="s">
        <v>550</v>
      </c>
      <c r="E29" s="76">
        <v>3</v>
      </c>
    </row>
    <row r="30" spans="1:6" s="26" customFormat="1" ht="16" x14ac:dyDescent="0.25">
      <c r="A30" s="75" t="s">
        <v>226</v>
      </c>
      <c r="B30" s="64" t="s">
        <v>231</v>
      </c>
      <c r="C30" s="26" t="s">
        <v>611</v>
      </c>
      <c r="D30" s="26" t="s">
        <v>609</v>
      </c>
      <c r="E30" s="76">
        <v>1</v>
      </c>
    </row>
    <row r="31" spans="1:6" s="26" customFormat="1" ht="16" x14ac:dyDescent="0.25">
      <c r="A31" s="75" t="s">
        <v>226</v>
      </c>
      <c r="B31" s="64" t="s">
        <v>231</v>
      </c>
      <c r="C31" s="26" t="s">
        <v>611</v>
      </c>
      <c r="D31" s="26" t="s">
        <v>612</v>
      </c>
      <c r="E31" s="76">
        <v>2</v>
      </c>
      <c r="F31" s="26" t="s">
        <v>612</v>
      </c>
    </row>
    <row r="32" spans="1:6" s="26" customFormat="1" ht="16" x14ac:dyDescent="0.25">
      <c r="A32" s="75" t="s">
        <v>226</v>
      </c>
      <c r="B32" s="64" t="s">
        <v>231</v>
      </c>
      <c r="C32" s="26" t="s">
        <v>611</v>
      </c>
      <c r="D32" s="26" t="s">
        <v>613</v>
      </c>
      <c r="E32" s="76">
        <v>3</v>
      </c>
    </row>
    <row r="33" spans="1:6" s="26" customFormat="1" ht="16" x14ac:dyDescent="0.25">
      <c r="A33" s="75" t="s">
        <v>226</v>
      </c>
      <c r="B33" s="64" t="s">
        <v>195</v>
      </c>
      <c r="C33" s="26" t="s">
        <v>554</v>
      </c>
      <c r="D33" s="26" t="s">
        <v>614</v>
      </c>
      <c r="E33" s="76">
        <v>1</v>
      </c>
    </row>
    <row r="34" spans="1:6" s="26" customFormat="1" ht="16" x14ac:dyDescent="0.25">
      <c r="A34" s="75" t="s">
        <v>226</v>
      </c>
      <c r="B34" s="64" t="s">
        <v>195</v>
      </c>
      <c r="C34" s="26" t="s">
        <v>554</v>
      </c>
      <c r="D34" s="26" t="s">
        <v>615</v>
      </c>
      <c r="E34" s="76">
        <v>3</v>
      </c>
      <c r="F34" s="26" t="s">
        <v>615</v>
      </c>
    </row>
    <row r="35" spans="1:6" s="26" customFormat="1" ht="16" x14ac:dyDescent="0.25">
      <c r="A35" s="75" t="s">
        <v>226</v>
      </c>
      <c r="B35" s="64" t="s">
        <v>195</v>
      </c>
      <c r="C35" s="26" t="s">
        <v>554</v>
      </c>
      <c r="D35" s="26" t="s">
        <v>616</v>
      </c>
      <c r="E35" s="76">
        <v>2</v>
      </c>
    </row>
    <row r="36" spans="1:6" s="26" customFormat="1" ht="16" x14ac:dyDescent="0.25">
      <c r="A36" s="75" t="s">
        <v>226</v>
      </c>
      <c r="B36" s="64" t="s">
        <v>194</v>
      </c>
      <c r="C36" s="26" t="s">
        <v>617</v>
      </c>
      <c r="D36" s="26" t="s">
        <v>618</v>
      </c>
      <c r="E36" s="76">
        <v>1</v>
      </c>
    </row>
    <row r="37" spans="1:6" s="26" customFormat="1" ht="16" x14ac:dyDescent="0.25">
      <c r="A37" s="75" t="s">
        <v>226</v>
      </c>
      <c r="B37" s="64" t="s">
        <v>194</v>
      </c>
      <c r="C37" s="26" t="s">
        <v>617</v>
      </c>
      <c r="D37" s="26" t="s">
        <v>560</v>
      </c>
      <c r="E37" s="76">
        <v>2</v>
      </c>
      <c r="F37" s="26" t="s">
        <v>560</v>
      </c>
    </row>
    <row r="38" spans="1:6" s="26" customFormat="1" ht="16" x14ac:dyDescent="0.25">
      <c r="A38" s="75" t="s">
        <v>226</v>
      </c>
      <c r="B38" s="64" t="s">
        <v>194</v>
      </c>
      <c r="C38" s="26" t="s">
        <v>617</v>
      </c>
      <c r="D38" s="26" t="s">
        <v>561</v>
      </c>
      <c r="E38" s="76">
        <v>3</v>
      </c>
    </row>
    <row r="39" spans="1:6" s="26" customFormat="1" ht="16" x14ac:dyDescent="0.25">
      <c r="A39" s="81" t="s">
        <v>196</v>
      </c>
      <c r="B39" s="64" t="s">
        <v>190</v>
      </c>
      <c r="C39" s="26" t="s">
        <v>562</v>
      </c>
      <c r="D39" s="26" t="s">
        <v>619</v>
      </c>
      <c r="E39" s="66">
        <v>1</v>
      </c>
    </row>
    <row r="40" spans="1:6" s="26" customFormat="1" ht="16" x14ac:dyDescent="0.25">
      <c r="A40" s="81" t="s">
        <v>196</v>
      </c>
      <c r="B40" s="64" t="s">
        <v>190</v>
      </c>
      <c r="C40" s="26" t="s">
        <v>562</v>
      </c>
      <c r="D40" s="26" t="s">
        <v>620</v>
      </c>
      <c r="E40" s="66">
        <v>2</v>
      </c>
      <c r="F40" s="26" t="s">
        <v>620</v>
      </c>
    </row>
    <row r="41" spans="1:6" s="26" customFormat="1" ht="16" x14ac:dyDescent="0.25">
      <c r="A41" s="81" t="s">
        <v>196</v>
      </c>
      <c r="B41" s="64" t="s">
        <v>190</v>
      </c>
      <c r="C41" s="26" t="s">
        <v>562</v>
      </c>
      <c r="D41" s="26" t="s">
        <v>621</v>
      </c>
      <c r="E41" s="66">
        <v>3</v>
      </c>
    </row>
    <row r="42" spans="1:6" s="26" customFormat="1" ht="16" x14ac:dyDescent="0.25">
      <c r="A42" s="81" t="s">
        <v>196</v>
      </c>
      <c r="B42" s="64" t="s">
        <v>141</v>
      </c>
      <c r="C42" s="26" t="s">
        <v>622</v>
      </c>
      <c r="D42" s="26" t="s">
        <v>623</v>
      </c>
      <c r="E42" s="66">
        <v>1</v>
      </c>
    </row>
    <row r="43" spans="1:6" s="26" customFormat="1" ht="16" x14ac:dyDescent="0.25">
      <c r="A43" s="81" t="s">
        <v>196</v>
      </c>
      <c r="B43" s="64" t="s">
        <v>141</v>
      </c>
      <c r="C43" s="26" t="s">
        <v>622</v>
      </c>
      <c r="D43" s="26" t="s">
        <v>624</v>
      </c>
      <c r="E43" s="66">
        <v>2</v>
      </c>
      <c r="F43" s="26" t="s">
        <v>624</v>
      </c>
    </row>
    <row r="44" spans="1:6" s="26" customFormat="1" ht="16" x14ac:dyDescent="0.25">
      <c r="A44" s="81" t="s">
        <v>196</v>
      </c>
      <c r="B44" s="64" t="s">
        <v>141</v>
      </c>
      <c r="C44" s="26" t="s">
        <v>622</v>
      </c>
      <c r="D44" s="26" t="s">
        <v>625</v>
      </c>
      <c r="E44" s="66">
        <v>3</v>
      </c>
    </row>
    <row r="45" spans="1:6" s="26" customFormat="1" ht="16" x14ac:dyDescent="0.25">
      <c r="A45" s="81" t="s">
        <v>196</v>
      </c>
      <c r="B45" s="64" t="s">
        <v>218</v>
      </c>
      <c r="C45" s="26" t="s">
        <v>626</v>
      </c>
      <c r="D45" s="26" t="s">
        <v>627</v>
      </c>
      <c r="E45" s="66">
        <v>1</v>
      </c>
    </row>
    <row r="46" spans="1:6" s="26" customFormat="1" ht="16" x14ac:dyDescent="0.25">
      <c r="A46" s="81" t="s">
        <v>196</v>
      </c>
      <c r="B46" s="64" t="s">
        <v>218</v>
      </c>
      <c r="C46" s="26" t="s">
        <v>626</v>
      </c>
      <c r="D46" s="26" t="s">
        <v>628</v>
      </c>
      <c r="E46" s="66">
        <v>2</v>
      </c>
      <c r="F46" s="26" t="s">
        <v>628</v>
      </c>
    </row>
    <row r="47" spans="1:6" s="26" customFormat="1" ht="16" x14ac:dyDescent="0.25">
      <c r="A47" s="81" t="s">
        <v>196</v>
      </c>
      <c r="B47" s="64" t="s">
        <v>218</v>
      </c>
      <c r="C47" s="26" t="s">
        <v>626</v>
      </c>
      <c r="D47" s="26" t="s">
        <v>629</v>
      </c>
      <c r="E47" s="66">
        <v>3</v>
      </c>
    </row>
    <row r="48" spans="1:6" s="26" customFormat="1" ht="16" x14ac:dyDescent="0.25">
      <c r="A48" s="81" t="s">
        <v>196</v>
      </c>
      <c r="B48" s="64" t="s">
        <v>219</v>
      </c>
      <c r="C48" s="26" t="s">
        <v>630</v>
      </c>
      <c r="D48" s="26" t="s">
        <v>573</v>
      </c>
      <c r="E48" s="66">
        <v>1</v>
      </c>
    </row>
    <row r="49" spans="1:6" s="26" customFormat="1" ht="16" x14ac:dyDescent="0.25">
      <c r="A49" s="81" t="s">
        <v>196</v>
      </c>
      <c r="B49" s="64" t="s">
        <v>219</v>
      </c>
      <c r="C49" s="26" t="s">
        <v>630</v>
      </c>
      <c r="D49" s="26" t="s">
        <v>574</v>
      </c>
      <c r="E49" s="66">
        <v>2</v>
      </c>
      <c r="F49" s="26" t="s">
        <v>574</v>
      </c>
    </row>
    <row r="50" spans="1:6" s="26" customFormat="1" ht="16" x14ac:dyDescent="0.25">
      <c r="A50" s="81" t="s">
        <v>196</v>
      </c>
      <c r="B50" s="64" t="s">
        <v>219</v>
      </c>
      <c r="C50" s="26" t="s">
        <v>630</v>
      </c>
      <c r="D50" s="26" t="s">
        <v>575</v>
      </c>
      <c r="E50" s="66">
        <v>3</v>
      </c>
    </row>
    <row r="51" spans="1:6" s="26" customFormat="1" ht="16" x14ac:dyDescent="0.25">
      <c r="A51" s="26" t="s">
        <v>191</v>
      </c>
      <c r="B51" s="64" t="s">
        <v>192</v>
      </c>
      <c r="C51" s="26" t="s">
        <v>631</v>
      </c>
      <c r="D51" s="26" t="s">
        <v>632</v>
      </c>
      <c r="E51" s="77">
        <v>0</v>
      </c>
    </row>
    <row r="52" spans="1:6" s="26" customFormat="1" ht="16" x14ac:dyDescent="0.25">
      <c r="A52" s="26" t="s">
        <v>191</v>
      </c>
      <c r="B52" s="64" t="s">
        <v>192</v>
      </c>
      <c r="C52" s="26" t="s">
        <v>631</v>
      </c>
      <c r="D52" s="26" t="s">
        <v>578</v>
      </c>
      <c r="E52" s="77">
        <v>0</v>
      </c>
      <c r="F52" s="26" t="s">
        <v>578</v>
      </c>
    </row>
    <row r="53" spans="1:6" s="26" customFormat="1" ht="16" x14ac:dyDescent="0.25">
      <c r="A53" s="26" t="s">
        <v>191</v>
      </c>
      <c r="B53" s="64" t="s">
        <v>192</v>
      </c>
      <c r="C53" s="26" t="s">
        <v>631</v>
      </c>
      <c r="D53" s="26" t="s">
        <v>579</v>
      </c>
      <c r="E53" s="77">
        <v>0</v>
      </c>
    </row>
    <row r="54" spans="1:6" s="26" customFormat="1" ht="16" x14ac:dyDescent="0.25">
      <c r="A54" s="26" t="s">
        <v>191</v>
      </c>
      <c r="B54" s="64" t="s">
        <v>193</v>
      </c>
      <c r="C54" s="26" t="s">
        <v>580</v>
      </c>
      <c r="D54" s="26" t="s">
        <v>633</v>
      </c>
      <c r="E54" s="77">
        <v>0</v>
      </c>
      <c r="F54" s="26" t="str">
        <f>D54</f>
        <v>we have no sustainability preferences</v>
      </c>
    </row>
    <row r="55" spans="1:6" s="26" customFormat="1" ht="16" x14ac:dyDescent="0.25">
      <c r="A55" s="26" t="s">
        <v>191</v>
      </c>
      <c r="B55" s="64" t="s">
        <v>193</v>
      </c>
      <c r="C55" s="26" t="s">
        <v>580</v>
      </c>
      <c r="D55" s="87" t="s">
        <v>636</v>
      </c>
      <c r="E55" s="77">
        <v>0</v>
      </c>
      <c r="F55" s="87"/>
    </row>
    <row r="56" spans="1:6" s="26" customFormat="1" ht="16" x14ac:dyDescent="0.25">
      <c r="A56" s="26" t="s">
        <v>191</v>
      </c>
      <c r="B56" s="64" t="s">
        <v>279</v>
      </c>
      <c r="C56" s="26" t="s">
        <v>582</v>
      </c>
      <c r="D56" s="26" t="s">
        <v>634</v>
      </c>
      <c r="E56" s="77">
        <v>0</v>
      </c>
      <c r="F56" s="26" t="s">
        <v>634</v>
      </c>
    </row>
    <row r="57" spans="1:6" s="26" customFormat="1" ht="16" x14ac:dyDescent="0.25">
      <c r="A57" s="26" t="s">
        <v>191</v>
      </c>
      <c r="B57" s="64" t="s">
        <v>279</v>
      </c>
      <c r="C57" s="26" t="s">
        <v>582</v>
      </c>
      <c r="D57" s="26" t="s">
        <v>584</v>
      </c>
      <c r="E57" s="77">
        <v>0</v>
      </c>
    </row>
    <row r="58" spans="1:6" s="26" customFormat="1" ht="16" x14ac:dyDescent="0.25">
      <c r="A58" s="26" t="s">
        <v>191</v>
      </c>
      <c r="B58" s="26" t="s">
        <v>280</v>
      </c>
      <c r="C58" s="26" t="s">
        <v>585</v>
      </c>
      <c r="D58" s="26" t="s">
        <v>586</v>
      </c>
      <c r="E58" s="77">
        <v>0</v>
      </c>
      <c r="F58" s="26" t="s">
        <v>586</v>
      </c>
    </row>
    <row r="59" spans="1:6" x14ac:dyDescent="0.25">
      <c r="A59" s="26" t="s">
        <v>191</v>
      </c>
      <c r="B59" s="26" t="s">
        <v>280</v>
      </c>
      <c r="C59" s="26" t="s">
        <v>585</v>
      </c>
      <c r="D59" s="26" t="s">
        <v>587</v>
      </c>
      <c r="E59" s="77">
        <v>0</v>
      </c>
    </row>
    <row r="60" spans="1:6" s="26" customFormat="1" x14ac:dyDescent="0.25">
      <c r="A60" s="64" t="s">
        <v>472</v>
      </c>
      <c r="B60" s="64" t="s">
        <v>472</v>
      </c>
      <c r="C60" s="26" t="s">
        <v>588</v>
      </c>
      <c r="D60" s="26" t="s">
        <v>589</v>
      </c>
      <c r="E60" s="70">
        <v>0</v>
      </c>
      <c r="F60" s="26" t="s">
        <v>589</v>
      </c>
    </row>
    <row r="61" spans="1:6" x14ac:dyDescent="0.25">
      <c r="A61" s="64" t="s">
        <v>472</v>
      </c>
      <c r="B61" s="64" t="s">
        <v>472</v>
      </c>
      <c r="C61" s="26" t="s">
        <v>588</v>
      </c>
      <c r="D61" s="26" t="s">
        <v>524</v>
      </c>
      <c r="E61" s="70">
        <v>0</v>
      </c>
    </row>
    <row r="62" spans="1:6" x14ac:dyDescent="0.25">
      <c r="A62" s="64" t="s">
        <v>506</v>
      </c>
      <c r="B62" s="64" t="s">
        <v>506</v>
      </c>
      <c r="C62" s="26" t="s">
        <v>706</v>
      </c>
      <c r="D62" s="26" t="s">
        <v>703</v>
      </c>
      <c r="E62" s="70">
        <v>0</v>
      </c>
      <c r="F62" s="26" t="str">
        <f>D62</f>
        <v>we would appreciate the inclusion of private investments in the portfolio</v>
      </c>
    </row>
    <row r="63" spans="1:6" x14ac:dyDescent="0.25">
      <c r="A63" s="64" t="s">
        <v>506</v>
      </c>
      <c r="B63" s="64" t="s">
        <v>506</v>
      </c>
      <c r="C63" s="26" t="s">
        <v>706</v>
      </c>
      <c r="D63" s="26" t="s">
        <v>635</v>
      </c>
      <c r="E63" s="26">
        <v>0</v>
      </c>
    </row>
    <row r="64" spans="1:6" x14ac:dyDescent="0.25">
      <c r="A64" s="64"/>
      <c r="B64" s="64"/>
      <c r="E64" s="7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D71E-9515-D148-9424-E31DF976C2AB}">
  <sheetPr>
    <tabColor rgb="FF92D050"/>
  </sheetPr>
  <dimension ref="A1:I61"/>
  <sheetViews>
    <sheetView topLeftCell="C26" workbookViewId="0">
      <selection activeCell="A48" sqref="A48:XFD52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7.5" style="26" bestFit="1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375</v>
      </c>
      <c r="D2" s="26" t="s">
        <v>426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375</v>
      </c>
      <c r="D3" s="26" t="s">
        <v>483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375</v>
      </c>
      <c r="D4" s="26" t="s">
        <v>427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375</v>
      </c>
      <c r="D5" s="26" t="s">
        <v>201</v>
      </c>
      <c r="E5" s="70">
        <v>4</v>
      </c>
      <c r="F5" s="26" t="str">
        <f>D5</f>
        <v>om het te laten groeien op de langere termijn</v>
      </c>
    </row>
    <row r="6" spans="1:6" x14ac:dyDescent="0.25">
      <c r="A6" s="64" t="s">
        <v>136</v>
      </c>
      <c r="B6" s="64" t="s">
        <v>136</v>
      </c>
      <c r="C6" s="26" t="s">
        <v>375</v>
      </c>
      <c r="D6" s="26" t="s">
        <v>207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385</v>
      </c>
      <c r="D7" s="26" t="s">
        <v>311</v>
      </c>
      <c r="E7" s="70">
        <v>0</v>
      </c>
      <c r="F7" s="26" t="str">
        <f>D7</f>
        <v>nee, dat is in het antwoord op de vorige vraag voldoende verwoord</v>
      </c>
    </row>
    <row r="8" spans="1:6" x14ac:dyDescent="0.25">
      <c r="A8" s="64" t="s">
        <v>136</v>
      </c>
      <c r="B8" s="64" t="s">
        <v>313</v>
      </c>
      <c r="C8" s="26" t="s">
        <v>385</v>
      </c>
      <c r="D8" s="26" t="s">
        <v>312</v>
      </c>
      <c r="E8" s="70">
        <v>0</v>
      </c>
    </row>
    <row r="9" spans="1:6" x14ac:dyDescent="0.25">
      <c r="A9" s="26" t="s">
        <v>232</v>
      </c>
      <c r="B9" s="64" t="s">
        <v>447</v>
      </c>
      <c r="C9" s="26" t="s">
        <v>429</v>
      </c>
      <c r="D9" s="26" t="s">
        <v>376</v>
      </c>
      <c r="E9" s="65">
        <v>1</v>
      </c>
    </row>
    <row r="10" spans="1:6" x14ac:dyDescent="0.25">
      <c r="A10" s="26" t="s">
        <v>232</v>
      </c>
      <c r="B10" s="64" t="s">
        <v>447</v>
      </c>
      <c r="C10" s="26" t="s">
        <v>429</v>
      </c>
      <c r="D10" s="26" t="s">
        <v>372</v>
      </c>
      <c r="E10" s="65">
        <v>2</v>
      </c>
      <c r="F10" s="26" t="str">
        <f>D10</f>
        <v>is grotendeels vrij te beleggen en bestaat deels uit vastgoed en/of minder makkelijk verhandelbare vermogensbestanddelen</v>
      </c>
    </row>
    <row r="11" spans="1:6" x14ac:dyDescent="0.25">
      <c r="A11" s="26" t="s">
        <v>232</v>
      </c>
      <c r="B11" s="64" t="s">
        <v>447</v>
      </c>
      <c r="C11" s="26" t="s">
        <v>429</v>
      </c>
      <c r="D11" s="26" t="s">
        <v>285</v>
      </c>
      <c r="E11" s="65">
        <v>3</v>
      </c>
    </row>
    <row r="12" spans="1:6" x14ac:dyDescent="0.25">
      <c r="A12" s="26" t="s">
        <v>232</v>
      </c>
      <c r="B12" s="64" t="s">
        <v>138</v>
      </c>
      <c r="C12" s="26" t="s">
        <v>458</v>
      </c>
      <c r="D12" s="26" t="s">
        <v>236</v>
      </c>
      <c r="E12" s="65">
        <v>3</v>
      </c>
    </row>
    <row r="13" spans="1:6" x14ac:dyDescent="0.25">
      <c r="A13" s="26" t="s">
        <v>232</v>
      </c>
      <c r="B13" s="64" t="s">
        <v>138</v>
      </c>
      <c r="C13" s="26" t="s">
        <v>458</v>
      </c>
      <c r="D13" s="26" t="s">
        <v>206</v>
      </c>
      <c r="E13" s="65">
        <v>2</v>
      </c>
      <c r="F13" s="26" t="str">
        <f>D13</f>
        <v>is ongeveer de helft</v>
      </c>
    </row>
    <row r="14" spans="1:6" x14ac:dyDescent="0.25">
      <c r="A14" s="26" t="s">
        <v>232</v>
      </c>
      <c r="B14" s="64" t="s">
        <v>138</v>
      </c>
      <c r="C14" s="26" t="s">
        <v>458</v>
      </c>
      <c r="D14" s="26" t="s">
        <v>204</v>
      </c>
      <c r="E14" s="65">
        <v>1</v>
      </c>
    </row>
    <row r="15" spans="1:6" x14ac:dyDescent="0.25">
      <c r="A15" s="26" t="s">
        <v>232</v>
      </c>
      <c r="B15" s="64" t="s">
        <v>139</v>
      </c>
      <c r="C15" s="26" t="s">
        <v>434</v>
      </c>
      <c r="D15" s="26" t="s">
        <v>430</v>
      </c>
      <c r="E15" s="65">
        <v>1</v>
      </c>
    </row>
    <row r="16" spans="1:6" x14ac:dyDescent="0.25">
      <c r="A16" s="26" t="s">
        <v>232</v>
      </c>
      <c r="B16" s="64" t="s">
        <v>139</v>
      </c>
      <c r="C16" s="26" t="s">
        <v>434</v>
      </c>
      <c r="D16" s="26" t="s">
        <v>431</v>
      </c>
      <c r="E16" s="65">
        <v>2</v>
      </c>
    </row>
    <row r="17" spans="1:6" x14ac:dyDescent="0.25">
      <c r="A17" s="26" t="s">
        <v>232</v>
      </c>
      <c r="B17" s="64" t="s">
        <v>139</v>
      </c>
      <c r="C17" s="26" t="s">
        <v>434</v>
      </c>
      <c r="D17" s="26" t="s">
        <v>432</v>
      </c>
      <c r="E17" s="65">
        <v>3</v>
      </c>
      <c r="F17" s="26" t="str">
        <f>D17</f>
        <v>is niet noodzakelijk en het vermogen in de besloten vennootschap kan blijven groeien, behoudens evt. onttrekkingen voor het betalen van belasting</v>
      </c>
    </row>
    <row r="18" spans="1:6" x14ac:dyDescent="0.25">
      <c r="A18" s="26" t="s">
        <v>232</v>
      </c>
      <c r="B18" s="64" t="s">
        <v>189</v>
      </c>
      <c r="C18" s="26" t="s">
        <v>433</v>
      </c>
      <c r="D18" s="26" t="s">
        <v>382</v>
      </c>
      <c r="E18" s="65">
        <v>1</v>
      </c>
    </row>
    <row r="19" spans="1:6" x14ac:dyDescent="0.25">
      <c r="A19" s="26" t="s">
        <v>232</v>
      </c>
      <c r="B19" s="64" t="s">
        <v>189</v>
      </c>
      <c r="C19" s="26" t="s">
        <v>433</v>
      </c>
      <c r="D19" s="26" t="s">
        <v>383</v>
      </c>
      <c r="E19" s="65">
        <v>2</v>
      </c>
      <c r="F19" s="26" t="str">
        <f>D19</f>
        <v>kan ik een waardedaling van ongeveer 25% aan van mijn beleggingen in de besloten vennootschap</v>
      </c>
    </row>
    <row r="20" spans="1:6" x14ac:dyDescent="0.25">
      <c r="A20" s="26" t="s">
        <v>232</v>
      </c>
      <c r="B20" s="64" t="s">
        <v>189</v>
      </c>
      <c r="C20" s="26" t="s">
        <v>433</v>
      </c>
      <c r="D20" s="26" t="s">
        <v>384</v>
      </c>
      <c r="E20" s="65">
        <v>3</v>
      </c>
    </row>
    <row r="21" spans="1:6" x14ac:dyDescent="0.25">
      <c r="A21" s="26" t="s">
        <v>232</v>
      </c>
      <c r="B21" s="64" t="s">
        <v>217</v>
      </c>
      <c r="C21" s="26" t="s">
        <v>377</v>
      </c>
      <c r="D21" s="26" t="s">
        <v>436</v>
      </c>
      <c r="E21" s="90">
        <v>0</v>
      </c>
    </row>
    <row r="22" spans="1:6" x14ac:dyDescent="0.25">
      <c r="A22" s="26" t="s">
        <v>232</v>
      </c>
      <c r="B22" s="64" t="s">
        <v>217</v>
      </c>
      <c r="C22" s="26" t="s">
        <v>377</v>
      </c>
      <c r="D22" s="26" t="s">
        <v>435</v>
      </c>
      <c r="E22" s="90">
        <v>0</v>
      </c>
      <c r="F22" s="26" t="str">
        <f>D22</f>
        <v>is belegd in een portefeuille aandelen en obligaties</v>
      </c>
    </row>
    <row r="23" spans="1:6" x14ac:dyDescent="0.25">
      <c r="A23" s="26" t="s">
        <v>232</v>
      </c>
      <c r="B23" s="64" t="s">
        <v>217</v>
      </c>
      <c r="C23" s="26" t="s">
        <v>377</v>
      </c>
      <c r="D23" s="26" t="s">
        <v>295</v>
      </c>
      <c r="E23" s="90">
        <v>0</v>
      </c>
    </row>
    <row r="24" spans="1:6" x14ac:dyDescent="0.25">
      <c r="A24" s="75" t="s">
        <v>226</v>
      </c>
      <c r="B24" s="64" t="s">
        <v>221</v>
      </c>
      <c r="C24" s="26" t="s">
        <v>228</v>
      </c>
      <c r="D24" s="26" t="s">
        <v>297</v>
      </c>
      <c r="E24" s="76">
        <v>1</v>
      </c>
    </row>
    <row r="25" spans="1:6" x14ac:dyDescent="0.25">
      <c r="A25" s="75" t="s">
        <v>226</v>
      </c>
      <c r="B25" s="64" t="s">
        <v>221</v>
      </c>
      <c r="C25" s="26" t="s">
        <v>228</v>
      </c>
      <c r="D25" s="26" t="s">
        <v>298</v>
      </c>
      <c r="E25" s="76">
        <v>2</v>
      </c>
      <c r="F25" s="26" t="str">
        <f>D25</f>
        <v>is gemiddeld en ik volg af en toe het financiële nieuws</v>
      </c>
    </row>
    <row r="26" spans="1:6" x14ac:dyDescent="0.25">
      <c r="A26" s="75" t="s">
        <v>226</v>
      </c>
      <c r="B26" s="64" t="s">
        <v>221</v>
      </c>
      <c r="C26" s="26" t="s">
        <v>228</v>
      </c>
      <c r="D26" s="26" t="s">
        <v>296</v>
      </c>
      <c r="E26" s="76">
        <v>3</v>
      </c>
    </row>
    <row r="27" spans="1:6" x14ac:dyDescent="0.25">
      <c r="A27" s="75" t="s">
        <v>226</v>
      </c>
      <c r="B27" s="64" t="s">
        <v>231</v>
      </c>
      <c r="C27" s="26" t="s">
        <v>227</v>
      </c>
      <c r="D27" s="26" t="s">
        <v>297</v>
      </c>
      <c r="E27" s="76">
        <v>1</v>
      </c>
    </row>
    <row r="28" spans="1:6" x14ac:dyDescent="0.25">
      <c r="A28" s="75" t="s">
        <v>226</v>
      </c>
      <c r="B28" s="64" t="s">
        <v>231</v>
      </c>
      <c r="C28" s="26" t="s">
        <v>227</v>
      </c>
      <c r="D28" s="26" t="s">
        <v>223</v>
      </c>
      <c r="E28" s="76">
        <v>2</v>
      </c>
      <c r="F28" s="26" t="str">
        <f>D28</f>
        <v>is aanwezig, ik weet wat aandelen en obligaties zijn</v>
      </c>
    </row>
    <row r="29" spans="1:6" x14ac:dyDescent="0.25">
      <c r="A29" s="75" t="s">
        <v>226</v>
      </c>
      <c r="B29" s="64" t="s">
        <v>231</v>
      </c>
      <c r="C29" s="26" t="s">
        <v>227</v>
      </c>
      <c r="D29" s="26" t="s">
        <v>296</v>
      </c>
      <c r="E29" s="76">
        <v>3</v>
      </c>
    </row>
    <row r="30" spans="1:6" x14ac:dyDescent="0.25">
      <c r="A30" s="75" t="s">
        <v>226</v>
      </c>
      <c r="B30" s="64" t="s">
        <v>195</v>
      </c>
      <c r="C30" s="26" t="s">
        <v>211</v>
      </c>
      <c r="D30" s="26" t="s">
        <v>203</v>
      </c>
      <c r="E30" s="76">
        <v>1</v>
      </c>
    </row>
    <row r="31" spans="1:6" x14ac:dyDescent="0.25">
      <c r="A31" s="75" t="s">
        <v>226</v>
      </c>
      <c r="B31" s="64" t="s">
        <v>195</v>
      </c>
      <c r="C31" s="26" t="s">
        <v>211</v>
      </c>
      <c r="D31" s="26" t="s">
        <v>287</v>
      </c>
      <c r="E31" s="76">
        <v>3</v>
      </c>
    </row>
    <row r="32" spans="1:6" x14ac:dyDescent="0.25">
      <c r="A32" s="75" t="s">
        <v>226</v>
      </c>
      <c r="B32" s="64" t="s">
        <v>195</v>
      </c>
      <c r="C32" s="26" t="s">
        <v>211</v>
      </c>
      <c r="D32" s="26" t="s">
        <v>239</v>
      </c>
      <c r="E32" s="76">
        <v>2</v>
      </c>
      <c r="F32" s="26" t="str">
        <f>D32</f>
        <v>heb ik ervaring, vooral met vermogensbeheer</v>
      </c>
    </row>
    <row r="33" spans="1:6" x14ac:dyDescent="0.25">
      <c r="A33" s="75" t="s">
        <v>226</v>
      </c>
      <c r="B33" s="64" t="s">
        <v>194</v>
      </c>
      <c r="C33" s="26" t="s">
        <v>222</v>
      </c>
      <c r="D33" s="26" t="s">
        <v>288</v>
      </c>
      <c r="E33" s="76">
        <v>1</v>
      </c>
    </row>
    <row r="34" spans="1:6" x14ac:dyDescent="0.25">
      <c r="A34" s="75" t="s">
        <v>226</v>
      </c>
      <c r="B34" s="64" t="s">
        <v>194</v>
      </c>
      <c r="C34" s="26" t="s">
        <v>222</v>
      </c>
      <c r="D34" s="26" t="s">
        <v>289</v>
      </c>
      <c r="E34" s="76">
        <v>2</v>
      </c>
    </row>
    <row r="35" spans="1:6" x14ac:dyDescent="0.25">
      <c r="A35" s="75" t="s">
        <v>226</v>
      </c>
      <c r="B35" s="64" t="s">
        <v>194</v>
      </c>
      <c r="C35" s="26" t="s">
        <v>222</v>
      </c>
      <c r="D35" s="26" t="s">
        <v>290</v>
      </c>
      <c r="E35" s="76">
        <v>3</v>
      </c>
      <c r="F35" s="26" t="str">
        <f>D35</f>
        <v>is ruim aanwezig</v>
      </c>
    </row>
    <row r="36" spans="1:6" x14ac:dyDescent="0.25">
      <c r="A36" s="81" t="s">
        <v>196</v>
      </c>
      <c r="B36" s="64" t="s">
        <v>190</v>
      </c>
      <c r="C36" s="26" t="s">
        <v>440</v>
      </c>
      <c r="D36" s="26" t="s">
        <v>278</v>
      </c>
      <c r="E36" s="66">
        <v>1</v>
      </c>
    </row>
    <row r="37" spans="1:6" x14ac:dyDescent="0.25">
      <c r="A37" s="81" t="s">
        <v>196</v>
      </c>
      <c r="B37" s="64" t="s">
        <v>190</v>
      </c>
      <c r="C37" s="26" t="s">
        <v>440</v>
      </c>
      <c r="D37" s="26" t="s">
        <v>418</v>
      </c>
      <c r="E37" s="66">
        <v>2</v>
      </c>
      <c r="F37" s="26" t="str">
        <f>D37</f>
        <v>ben ik bereid, op enig moment, ongeveer 25% waardedaling te accepteren</v>
      </c>
    </row>
    <row r="38" spans="1:6" x14ac:dyDescent="0.25">
      <c r="A38" s="81" t="s">
        <v>196</v>
      </c>
      <c r="B38" s="64" t="s">
        <v>190</v>
      </c>
      <c r="C38" s="26" t="s">
        <v>440</v>
      </c>
      <c r="D38" s="26" t="s">
        <v>419</v>
      </c>
      <c r="E38" s="66">
        <v>3</v>
      </c>
    </row>
    <row r="39" spans="1:6" x14ac:dyDescent="0.25">
      <c r="A39" s="81" t="s">
        <v>196</v>
      </c>
      <c r="B39" s="64" t="s">
        <v>141</v>
      </c>
      <c r="C39" s="26" t="s">
        <v>386</v>
      </c>
      <c r="D39" s="26" t="s">
        <v>291</v>
      </c>
      <c r="E39" s="66">
        <v>1</v>
      </c>
      <c r="F39" s="26" t="str">
        <f>D39</f>
        <v>Ik check het geregeld en zit er bovenop</v>
      </c>
    </row>
    <row r="40" spans="1:6" x14ac:dyDescent="0.25">
      <c r="A40" s="81" t="s">
        <v>196</v>
      </c>
      <c r="B40" s="64" t="s">
        <v>141</v>
      </c>
      <c r="C40" s="26" t="s">
        <v>386</v>
      </c>
      <c r="D40" s="26" t="s">
        <v>199</v>
      </c>
      <c r="E40" s="66">
        <v>2</v>
      </c>
    </row>
    <row r="41" spans="1:6" x14ac:dyDescent="0.25">
      <c r="A41" s="81" t="s">
        <v>196</v>
      </c>
      <c r="B41" s="64" t="s">
        <v>141</v>
      </c>
      <c r="C41" s="26" t="s">
        <v>386</v>
      </c>
      <c r="D41" s="26" t="s">
        <v>292</v>
      </c>
      <c r="E41" s="66">
        <v>3</v>
      </c>
    </row>
    <row r="42" spans="1:6" x14ac:dyDescent="0.25">
      <c r="A42" s="81" t="s">
        <v>196</v>
      </c>
      <c r="B42" s="64" t="s">
        <v>218</v>
      </c>
      <c r="C42" s="26" t="s">
        <v>465</v>
      </c>
      <c r="D42" s="26" t="s">
        <v>387</v>
      </c>
      <c r="E42" s="66">
        <v>1</v>
      </c>
    </row>
    <row r="43" spans="1:6" x14ac:dyDescent="0.25">
      <c r="A43" s="81" t="s">
        <v>196</v>
      </c>
      <c r="B43" s="64" t="s">
        <v>218</v>
      </c>
      <c r="C43" s="26" t="s">
        <v>465</v>
      </c>
      <c r="D43" s="26" t="s">
        <v>470</v>
      </c>
      <c r="E43" s="66">
        <v>2</v>
      </c>
      <c r="F43" s="26" t="str">
        <f>D43</f>
        <v>de beleggingen in de besloten vennootschap kunnen wel tien jaar aangehouden worden en er zijn geen tussentijdse plannen mee</v>
      </c>
    </row>
    <row r="44" spans="1:6" x14ac:dyDescent="0.25">
      <c r="A44" s="81" t="s">
        <v>196</v>
      </c>
      <c r="B44" s="64" t="s">
        <v>218</v>
      </c>
      <c r="C44" s="26" t="s">
        <v>465</v>
      </c>
      <c r="D44" s="26" t="s">
        <v>477</v>
      </c>
      <c r="E44" s="66">
        <v>3</v>
      </c>
    </row>
    <row r="45" spans="1:6" x14ac:dyDescent="0.25">
      <c r="A45" s="81" t="s">
        <v>196</v>
      </c>
      <c r="B45" s="26" t="s">
        <v>219</v>
      </c>
      <c r="C45" s="26" t="s">
        <v>388</v>
      </c>
      <c r="D45" s="26" t="s">
        <v>362</v>
      </c>
      <c r="E45" s="66">
        <v>1</v>
      </c>
    </row>
    <row r="46" spans="1:6" x14ac:dyDescent="0.25">
      <c r="A46" s="81" t="s">
        <v>196</v>
      </c>
      <c r="B46" s="26" t="s">
        <v>219</v>
      </c>
      <c r="C46" s="26" t="s">
        <v>388</v>
      </c>
      <c r="D46" s="26" t="s">
        <v>360</v>
      </c>
      <c r="E46" s="66">
        <v>2</v>
      </c>
    </row>
    <row r="47" spans="1:6" x14ac:dyDescent="0.25">
      <c r="A47" s="81" t="s">
        <v>196</v>
      </c>
      <c r="B47" s="26" t="s">
        <v>219</v>
      </c>
      <c r="C47" s="26" t="s">
        <v>388</v>
      </c>
      <c r="D47" s="26" t="s">
        <v>361</v>
      </c>
      <c r="E47" s="66">
        <v>3</v>
      </c>
      <c r="F47" s="26" t="str">
        <f>D47</f>
        <v>Dat kan gebeuren, want beleggen gaat nu eenmaal gepaard met risico's</v>
      </c>
    </row>
    <row r="48" spans="1:6" x14ac:dyDescent="0.25">
      <c r="A48" s="26" t="s">
        <v>191</v>
      </c>
      <c r="B48" s="64" t="s">
        <v>192</v>
      </c>
      <c r="C48" s="26" t="s">
        <v>389</v>
      </c>
      <c r="D48" s="26" t="s">
        <v>364</v>
      </c>
      <c r="E48" s="77">
        <v>0</v>
      </c>
    </row>
    <row r="49" spans="1:6" x14ac:dyDescent="0.25">
      <c r="A49" s="26" t="s">
        <v>191</v>
      </c>
      <c r="B49" s="64" t="s">
        <v>192</v>
      </c>
      <c r="C49" s="26" t="s">
        <v>389</v>
      </c>
      <c r="D49" s="26" t="s">
        <v>214</v>
      </c>
      <c r="E49" s="77">
        <v>0</v>
      </c>
      <c r="F49" s="26" t="str">
        <f>D49</f>
        <v>spelen duurzaamheidsaspecten geen bijzondere rol</v>
      </c>
    </row>
    <row r="50" spans="1:6" x14ac:dyDescent="0.25">
      <c r="A50" s="26" t="s">
        <v>191</v>
      </c>
      <c r="B50" s="64" t="s">
        <v>192</v>
      </c>
      <c r="C50" s="26" t="s">
        <v>389</v>
      </c>
      <c r="D50" s="26" t="s">
        <v>215</v>
      </c>
      <c r="E50" s="77">
        <v>0</v>
      </c>
    </row>
    <row r="51" spans="1:6" x14ac:dyDescent="0.25">
      <c r="A51" s="26" t="s">
        <v>191</v>
      </c>
      <c r="B51" s="64" t="s">
        <v>193</v>
      </c>
      <c r="C51" s="26" t="s">
        <v>390</v>
      </c>
      <c r="D51" s="26" t="s">
        <v>365</v>
      </c>
      <c r="E51" s="77">
        <v>0</v>
      </c>
      <c r="F51" s="26" t="str">
        <f>D51</f>
        <v>bestaan geen duurzaamheidsvoorkeuren</v>
      </c>
    </row>
    <row r="52" spans="1:6" x14ac:dyDescent="0.25">
      <c r="A52" s="26" t="s">
        <v>191</v>
      </c>
      <c r="B52" s="64" t="s">
        <v>193</v>
      </c>
      <c r="C52" s="26" t="s">
        <v>390</v>
      </c>
      <c r="D52" s="87" t="s">
        <v>357</v>
      </c>
      <c r="E52" s="77">
        <v>0</v>
      </c>
    </row>
    <row r="53" spans="1:6" x14ac:dyDescent="0.25">
      <c r="A53" s="26" t="s">
        <v>191</v>
      </c>
      <c r="B53" s="64" t="s">
        <v>279</v>
      </c>
      <c r="C53" s="26" t="s">
        <v>468</v>
      </c>
      <c r="D53" s="26" t="s">
        <v>366</v>
      </c>
      <c r="E53" s="77">
        <v>0</v>
      </c>
      <c r="F53" s="26" t="str">
        <f>D53</f>
        <v>moet dit meer zijn dan een kwart</v>
      </c>
    </row>
    <row r="54" spans="1:6" x14ac:dyDescent="0.25">
      <c r="A54" s="26" t="s">
        <v>191</v>
      </c>
      <c r="B54" s="64" t="s">
        <v>279</v>
      </c>
      <c r="C54" s="26" t="s">
        <v>468</v>
      </c>
      <c r="D54" s="26" t="s">
        <v>367</v>
      </c>
      <c r="E54" s="77">
        <v>0</v>
      </c>
    </row>
    <row r="55" spans="1:6" x14ac:dyDescent="0.25">
      <c r="A55" s="26" t="s">
        <v>191</v>
      </c>
      <c r="B55" s="26" t="s">
        <v>280</v>
      </c>
      <c r="C55" s="26" t="s">
        <v>464</v>
      </c>
      <c r="D55" s="26" t="s">
        <v>368</v>
      </c>
      <c r="E55" s="77">
        <v>0</v>
      </c>
      <c r="F55" s="26" t="str">
        <f>D55</f>
        <v>zijn  geen vereiste voor de invulling van de portefeuille</v>
      </c>
    </row>
    <row r="56" spans="1:6" x14ac:dyDescent="0.25">
      <c r="A56" s="26" t="s">
        <v>191</v>
      </c>
      <c r="B56" s="26" t="s">
        <v>280</v>
      </c>
      <c r="C56" s="26" t="s">
        <v>464</v>
      </c>
      <c r="D56" s="26" t="s">
        <v>391</v>
      </c>
      <c r="E56" s="77">
        <v>0</v>
      </c>
    </row>
    <row r="57" spans="1:6" x14ac:dyDescent="0.25">
      <c r="A57" s="64" t="s">
        <v>472</v>
      </c>
      <c r="B57" s="64" t="s">
        <v>472</v>
      </c>
      <c r="C57" s="26" t="s">
        <v>473</v>
      </c>
      <c r="D57" s="26" t="s">
        <v>474</v>
      </c>
      <c r="E57" s="70">
        <v>0</v>
      </c>
      <c r="F57" s="26" t="str">
        <f>D57</f>
        <v>nee, dat is niet nodig</v>
      </c>
    </row>
    <row r="58" spans="1:6" x14ac:dyDescent="0.25">
      <c r="A58" s="64" t="s">
        <v>472</v>
      </c>
      <c r="B58" s="64" t="s">
        <v>472</v>
      </c>
      <c r="C58" s="26" t="s">
        <v>473</v>
      </c>
      <c r="D58" s="26" t="s">
        <v>312</v>
      </c>
      <c r="E58" s="70">
        <v>0</v>
      </c>
    </row>
    <row r="59" spans="1:6" x14ac:dyDescent="0.25">
      <c r="A59" s="64" t="s">
        <v>506</v>
      </c>
      <c r="B59" s="64" t="s">
        <v>506</v>
      </c>
      <c r="C59" s="26" t="s">
        <v>509</v>
      </c>
      <c r="D59" s="26" t="s">
        <v>515</v>
      </c>
      <c r="E59" s="70">
        <v>0</v>
      </c>
      <c r="F59" s="26" t="s">
        <v>515</v>
      </c>
    </row>
    <row r="60" spans="1:6" x14ac:dyDescent="0.25">
      <c r="A60" s="64" t="s">
        <v>506</v>
      </c>
      <c r="B60" s="64" t="s">
        <v>506</v>
      </c>
      <c r="C60" s="26" t="s">
        <v>509</v>
      </c>
      <c r="D60" s="26" t="s">
        <v>514</v>
      </c>
      <c r="E60" s="26">
        <v>0</v>
      </c>
    </row>
    <row r="61" spans="1:6" x14ac:dyDescent="0.25">
      <c r="A61" s="64"/>
      <c r="B61" s="64"/>
      <c r="E61" s="7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3896-290D-CE47-A6BA-5CD71C3DBB21}">
  <sheetPr>
    <tabColor rgb="FF92D050"/>
  </sheetPr>
  <dimension ref="A1:I61"/>
  <sheetViews>
    <sheetView topLeftCell="C22" workbookViewId="0">
      <selection activeCell="D22" sqref="D22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7.5" style="26" bestFit="1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637</v>
      </c>
      <c r="D2" s="26" t="s">
        <v>638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637</v>
      </c>
      <c r="D3" s="26" t="s">
        <v>518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637</v>
      </c>
      <c r="D4" s="26" t="s">
        <v>639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637</v>
      </c>
      <c r="D5" s="26" t="s">
        <v>520</v>
      </c>
      <c r="E5" s="70">
        <v>4</v>
      </c>
      <c r="F5" s="26" t="str">
        <f>D5</f>
        <v>to grow it in the longer term</v>
      </c>
    </row>
    <row r="6" spans="1:6" x14ac:dyDescent="0.25">
      <c r="A6" s="64" t="s">
        <v>136</v>
      </c>
      <c r="B6" s="64" t="s">
        <v>136</v>
      </c>
      <c r="C6" s="26" t="s">
        <v>637</v>
      </c>
      <c r="D6" s="26" t="s">
        <v>521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640</v>
      </c>
      <c r="D7" s="26" t="s">
        <v>523</v>
      </c>
      <c r="E7" s="70">
        <v>0</v>
      </c>
      <c r="F7" s="26" t="str">
        <f>D7</f>
        <v>No, that is sufficiently expressed in the answer to the previous question</v>
      </c>
    </row>
    <row r="8" spans="1:6" x14ac:dyDescent="0.25">
      <c r="A8" s="64" t="s">
        <v>136</v>
      </c>
      <c r="B8" s="64" t="s">
        <v>313</v>
      </c>
      <c r="C8" s="26" t="s">
        <v>640</v>
      </c>
      <c r="D8" s="26" t="s">
        <v>524</v>
      </c>
      <c r="E8" s="70">
        <v>0</v>
      </c>
    </row>
    <row r="9" spans="1:6" x14ac:dyDescent="0.25">
      <c r="A9" s="26" t="s">
        <v>232</v>
      </c>
      <c r="B9" s="64" t="s">
        <v>447</v>
      </c>
      <c r="C9" s="26" t="s">
        <v>641</v>
      </c>
      <c r="D9" s="26" t="s">
        <v>642</v>
      </c>
      <c r="E9" s="65">
        <v>1</v>
      </c>
    </row>
    <row r="10" spans="1:6" x14ac:dyDescent="0.25">
      <c r="A10" s="26" t="s">
        <v>232</v>
      </c>
      <c r="B10" s="64" t="s">
        <v>447</v>
      </c>
      <c r="C10" s="26" t="s">
        <v>641</v>
      </c>
      <c r="D10" s="26" t="s">
        <v>643</v>
      </c>
      <c r="E10" s="65">
        <v>2</v>
      </c>
      <c r="F10" s="26" t="str">
        <f>D10</f>
        <v>is largely free to invest and partly consists of real estate and/or less easily tradable assets</v>
      </c>
    </row>
    <row r="11" spans="1:6" x14ac:dyDescent="0.25">
      <c r="A11" s="26" t="s">
        <v>232</v>
      </c>
      <c r="B11" s="64" t="s">
        <v>447</v>
      </c>
      <c r="C11" s="26" t="s">
        <v>641</v>
      </c>
      <c r="D11" s="26" t="s">
        <v>532</v>
      </c>
      <c r="E11" s="65">
        <v>3</v>
      </c>
    </row>
    <row r="12" spans="1:6" x14ac:dyDescent="0.25">
      <c r="A12" s="26" t="s">
        <v>232</v>
      </c>
      <c r="B12" s="64" t="s">
        <v>138</v>
      </c>
      <c r="C12" s="26" t="s">
        <v>644</v>
      </c>
      <c r="D12" s="26" t="s">
        <v>534</v>
      </c>
      <c r="E12" s="65">
        <v>3</v>
      </c>
    </row>
    <row r="13" spans="1:6" x14ac:dyDescent="0.25">
      <c r="A13" s="26" t="s">
        <v>232</v>
      </c>
      <c r="B13" s="64" t="s">
        <v>138</v>
      </c>
      <c r="C13" s="26" t="s">
        <v>644</v>
      </c>
      <c r="D13" s="26" t="s">
        <v>535</v>
      </c>
      <c r="E13" s="65">
        <v>2</v>
      </c>
      <c r="F13" s="26" t="str">
        <f>D13</f>
        <v>is about half</v>
      </c>
    </row>
    <row r="14" spans="1:6" x14ac:dyDescent="0.25">
      <c r="A14" s="26" t="s">
        <v>232</v>
      </c>
      <c r="B14" s="64" t="s">
        <v>138</v>
      </c>
      <c r="C14" s="26" t="s">
        <v>644</v>
      </c>
      <c r="D14" s="26" t="s">
        <v>536</v>
      </c>
      <c r="E14" s="65">
        <v>1</v>
      </c>
    </row>
    <row r="15" spans="1:6" x14ac:dyDescent="0.25">
      <c r="A15" s="26" t="s">
        <v>232</v>
      </c>
      <c r="B15" s="64" t="s">
        <v>139</v>
      </c>
      <c r="C15" s="26" t="s">
        <v>645</v>
      </c>
      <c r="D15" s="26" t="s">
        <v>646</v>
      </c>
      <c r="E15" s="65">
        <v>1</v>
      </c>
    </row>
    <row r="16" spans="1:6" x14ac:dyDescent="0.25">
      <c r="A16" s="26" t="s">
        <v>232</v>
      </c>
      <c r="B16" s="64" t="s">
        <v>139</v>
      </c>
      <c r="C16" s="26" t="s">
        <v>645</v>
      </c>
      <c r="D16" s="26" t="s">
        <v>647</v>
      </c>
      <c r="E16" s="65">
        <v>2</v>
      </c>
    </row>
    <row r="17" spans="1:6" x14ac:dyDescent="0.25">
      <c r="A17" s="26" t="s">
        <v>232</v>
      </c>
      <c r="B17" s="64" t="s">
        <v>139</v>
      </c>
      <c r="C17" s="26" t="s">
        <v>645</v>
      </c>
      <c r="D17" s="26" t="s">
        <v>648</v>
      </c>
      <c r="E17" s="65">
        <v>3</v>
      </c>
      <c r="F17" s="26" t="str">
        <f>D17</f>
        <v>is not necessary and the assets in the private limited company can continue to grow, except in the case of possibly. withdrawals for the payment of tax</v>
      </c>
    </row>
    <row r="18" spans="1:6" x14ac:dyDescent="0.25">
      <c r="A18" s="26" t="s">
        <v>232</v>
      </c>
      <c r="B18" s="64" t="s">
        <v>189</v>
      </c>
      <c r="C18" s="26" t="s">
        <v>649</v>
      </c>
      <c r="D18" s="26" t="s">
        <v>650</v>
      </c>
      <c r="E18" s="65">
        <v>1</v>
      </c>
    </row>
    <row r="19" spans="1:6" x14ac:dyDescent="0.25">
      <c r="A19" s="26" t="s">
        <v>232</v>
      </c>
      <c r="B19" s="64" t="s">
        <v>189</v>
      </c>
      <c r="C19" s="26" t="s">
        <v>649</v>
      </c>
      <c r="D19" s="26" t="s">
        <v>651</v>
      </c>
      <c r="E19" s="65">
        <v>2</v>
      </c>
      <c r="F19" s="26" t="str">
        <f>D19</f>
        <v>I can handle a decrease in value of about 25% of my investments in the private limited company</v>
      </c>
    </row>
    <row r="20" spans="1:6" x14ac:dyDescent="0.25">
      <c r="A20" s="26" t="s">
        <v>232</v>
      </c>
      <c r="B20" s="64" t="s">
        <v>189</v>
      </c>
      <c r="C20" s="26" t="s">
        <v>649</v>
      </c>
      <c r="D20" s="26" t="s">
        <v>652</v>
      </c>
      <c r="E20" s="65">
        <v>3</v>
      </c>
    </row>
    <row r="21" spans="1:6" x14ac:dyDescent="0.25">
      <c r="A21" s="26" t="s">
        <v>232</v>
      </c>
      <c r="B21" s="64" t="s">
        <v>217</v>
      </c>
      <c r="C21" s="26" t="s">
        <v>653</v>
      </c>
      <c r="D21" s="26" t="s">
        <v>545</v>
      </c>
      <c r="E21" s="90">
        <v>0</v>
      </c>
    </row>
    <row r="22" spans="1:6" x14ac:dyDescent="0.25">
      <c r="A22" s="26" t="s">
        <v>232</v>
      </c>
      <c r="B22" s="64" t="s">
        <v>217</v>
      </c>
      <c r="C22" s="26" t="s">
        <v>653</v>
      </c>
      <c r="D22" s="26" t="s">
        <v>707</v>
      </c>
      <c r="E22" s="90">
        <v>0</v>
      </c>
      <c r="F22" s="26" t="str">
        <f>D22</f>
        <v>is invested in a portfolio of equities and bonds</v>
      </c>
    </row>
    <row r="23" spans="1:6" x14ac:dyDescent="0.25">
      <c r="A23" s="26" t="s">
        <v>232</v>
      </c>
      <c r="B23" s="64" t="s">
        <v>217</v>
      </c>
      <c r="C23" s="26" t="s">
        <v>653</v>
      </c>
      <c r="D23" s="26" t="s">
        <v>546</v>
      </c>
      <c r="E23" s="90">
        <v>0</v>
      </c>
    </row>
    <row r="24" spans="1:6" x14ac:dyDescent="0.25">
      <c r="A24" s="75" t="s">
        <v>226</v>
      </c>
      <c r="B24" s="64" t="s">
        <v>221</v>
      </c>
      <c r="C24" s="26" t="s">
        <v>547</v>
      </c>
      <c r="D24" s="26" t="s">
        <v>548</v>
      </c>
      <c r="E24" s="76">
        <v>1</v>
      </c>
    </row>
    <row r="25" spans="1:6" x14ac:dyDescent="0.25">
      <c r="A25" s="75" t="s">
        <v>226</v>
      </c>
      <c r="B25" s="64" t="s">
        <v>221</v>
      </c>
      <c r="C25" s="26" t="s">
        <v>547</v>
      </c>
      <c r="D25" s="26" t="s">
        <v>549</v>
      </c>
      <c r="E25" s="76">
        <v>2</v>
      </c>
      <c r="F25" s="26" t="str">
        <f>D25</f>
        <v>is average and I occasionally follow the financial news</v>
      </c>
    </row>
    <row r="26" spans="1:6" x14ac:dyDescent="0.25">
      <c r="A26" s="75" t="s">
        <v>226</v>
      </c>
      <c r="B26" s="64" t="s">
        <v>221</v>
      </c>
      <c r="C26" s="26" t="s">
        <v>547</v>
      </c>
      <c r="D26" s="26" t="s">
        <v>550</v>
      </c>
      <c r="E26" s="76">
        <v>3</v>
      </c>
    </row>
    <row r="27" spans="1:6" x14ac:dyDescent="0.25">
      <c r="A27" s="75" t="s">
        <v>226</v>
      </c>
      <c r="B27" s="64" t="s">
        <v>231</v>
      </c>
      <c r="C27" s="26" t="s">
        <v>551</v>
      </c>
      <c r="D27" s="26" t="s">
        <v>548</v>
      </c>
      <c r="E27" s="76">
        <v>1</v>
      </c>
    </row>
    <row r="28" spans="1:6" x14ac:dyDescent="0.25">
      <c r="A28" s="75" t="s">
        <v>226</v>
      </c>
      <c r="B28" s="64" t="s">
        <v>231</v>
      </c>
      <c r="C28" s="26" t="s">
        <v>551</v>
      </c>
      <c r="D28" s="26" t="s">
        <v>552</v>
      </c>
      <c r="E28" s="76">
        <v>2</v>
      </c>
      <c r="F28" s="26" t="str">
        <f>D28</f>
        <v>is present, I know what stocks and bonds are</v>
      </c>
    </row>
    <row r="29" spans="1:6" x14ac:dyDescent="0.25">
      <c r="A29" s="75" t="s">
        <v>226</v>
      </c>
      <c r="B29" s="64" t="s">
        <v>231</v>
      </c>
      <c r="C29" s="26" t="s">
        <v>551</v>
      </c>
      <c r="D29" s="26" t="s">
        <v>550</v>
      </c>
      <c r="E29" s="76">
        <v>3</v>
      </c>
    </row>
    <row r="30" spans="1:6" x14ac:dyDescent="0.25">
      <c r="A30" s="75" t="s">
        <v>226</v>
      </c>
      <c r="B30" s="64" t="s">
        <v>195</v>
      </c>
      <c r="C30" s="26" t="s">
        <v>554</v>
      </c>
      <c r="D30" s="26" t="s">
        <v>555</v>
      </c>
      <c r="E30" s="76">
        <v>1</v>
      </c>
    </row>
    <row r="31" spans="1:6" x14ac:dyDescent="0.25">
      <c r="A31" s="75" t="s">
        <v>226</v>
      </c>
      <c r="B31" s="64" t="s">
        <v>195</v>
      </c>
      <c r="C31" s="26" t="s">
        <v>554</v>
      </c>
      <c r="D31" s="26" t="s">
        <v>556</v>
      </c>
      <c r="E31" s="76">
        <v>3</v>
      </c>
    </row>
    <row r="32" spans="1:6" x14ac:dyDescent="0.25">
      <c r="A32" s="75" t="s">
        <v>226</v>
      </c>
      <c r="B32" s="64" t="s">
        <v>195</v>
      </c>
      <c r="C32" s="26" t="s">
        <v>554</v>
      </c>
      <c r="D32" s="26" t="s">
        <v>557</v>
      </c>
      <c r="E32" s="76">
        <v>2</v>
      </c>
      <c r="F32" s="26" t="str">
        <f>D32</f>
        <v>I have experience, especially with asset management</v>
      </c>
    </row>
    <row r="33" spans="1:6" x14ac:dyDescent="0.25">
      <c r="A33" s="75" t="s">
        <v>226</v>
      </c>
      <c r="B33" s="64" t="s">
        <v>194</v>
      </c>
      <c r="C33" s="26" t="s">
        <v>558</v>
      </c>
      <c r="D33" s="26" t="s">
        <v>559</v>
      </c>
      <c r="E33" s="76">
        <v>1</v>
      </c>
    </row>
    <row r="34" spans="1:6" x14ac:dyDescent="0.25">
      <c r="A34" s="75" t="s">
        <v>226</v>
      </c>
      <c r="B34" s="64" t="s">
        <v>194</v>
      </c>
      <c r="C34" s="26" t="s">
        <v>558</v>
      </c>
      <c r="D34" s="26" t="s">
        <v>560</v>
      </c>
      <c r="E34" s="76">
        <v>2</v>
      </c>
    </row>
    <row r="35" spans="1:6" x14ac:dyDescent="0.25">
      <c r="A35" s="75" t="s">
        <v>226</v>
      </c>
      <c r="B35" s="64" t="s">
        <v>194</v>
      </c>
      <c r="C35" s="26" t="s">
        <v>558</v>
      </c>
      <c r="D35" s="26" t="s">
        <v>561</v>
      </c>
      <c r="E35" s="76">
        <v>3</v>
      </c>
      <c r="F35" s="26" t="str">
        <f>D35</f>
        <v>is widely available</v>
      </c>
    </row>
    <row r="36" spans="1:6" x14ac:dyDescent="0.25">
      <c r="A36" s="81" t="s">
        <v>196</v>
      </c>
      <c r="B36" s="64" t="s">
        <v>190</v>
      </c>
      <c r="C36" s="26" t="s">
        <v>654</v>
      </c>
      <c r="D36" s="26" t="s">
        <v>563</v>
      </c>
      <c r="E36" s="66">
        <v>1</v>
      </c>
    </row>
    <row r="37" spans="1:6" x14ac:dyDescent="0.25">
      <c r="A37" s="81" t="s">
        <v>196</v>
      </c>
      <c r="B37" s="64" t="s">
        <v>190</v>
      </c>
      <c r="C37" s="26" t="s">
        <v>654</v>
      </c>
      <c r="D37" s="26" t="s">
        <v>700</v>
      </c>
      <c r="E37" s="66">
        <v>2</v>
      </c>
      <c r="F37" s="26" t="str">
        <f>D37</f>
        <v>am I willing, at some point, to accept about a 25% decrease in value</v>
      </c>
    </row>
    <row r="38" spans="1:6" x14ac:dyDescent="0.25">
      <c r="A38" s="81" t="s">
        <v>196</v>
      </c>
      <c r="B38" s="64" t="s">
        <v>190</v>
      </c>
      <c r="C38" s="26" t="s">
        <v>654</v>
      </c>
      <c r="D38" s="26" t="s">
        <v>701</v>
      </c>
      <c r="E38" s="66">
        <v>3</v>
      </c>
    </row>
    <row r="39" spans="1:6" x14ac:dyDescent="0.25">
      <c r="A39" s="81" t="s">
        <v>196</v>
      </c>
      <c r="B39" s="64" t="s">
        <v>141</v>
      </c>
      <c r="C39" s="26" t="s">
        <v>655</v>
      </c>
      <c r="D39" s="26" t="s">
        <v>565</v>
      </c>
      <c r="E39" s="66">
        <v>1</v>
      </c>
      <c r="F39" s="26" t="str">
        <f>D39</f>
        <v>I check it regularly and am on top of it</v>
      </c>
    </row>
    <row r="40" spans="1:6" x14ac:dyDescent="0.25">
      <c r="A40" s="81" t="s">
        <v>196</v>
      </c>
      <c r="B40" s="64" t="s">
        <v>141</v>
      </c>
      <c r="C40" s="26" t="s">
        <v>655</v>
      </c>
      <c r="D40" s="26" t="s">
        <v>566</v>
      </c>
      <c r="E40" s="66">
        <v>2</v>
      </c>
    </row>
    <row r="41" spans="1:6" x14ac:dyDescent="0.25">
      <c r="A41" s="81" t="s">
        <v>196</v>
      </c>
      <c r="B41" s="64" t="s">
        <v>141</v>
      </c>
      <c r="C41" s="26" t="s">
        <v>655</v>
      </c>
      <c r="D41" s="26" t="s">
        <v>567</v>
      </c>
      <c r="E41" s="66">
        <v>3</v>
      </c>
    </row>
    <row r="42" spans="1:6" x14ac:dyDescent="0.25">
      <c r="A42" s="81" t="s">
        <v>196</v>
      </c>
      <c r="B42" s="64" t="s">
        <v>218</v>
      </c>
      <c r="C42" s="26" t="s">
        <v>656</v>
      </c>
      <c r="D42" s="26" t="s">
        <v>657</v>
      </c>
      <c r="E42" s="66">
        <v>1</v>
      </c>
    </row>
    <row r="43" spans="1:6" x14ac:dyDescent="0.25">
      <c r="A43" s="81" t="s">
        <v>196</v>
      </c>
      <c r="B43" s="64" t="s">
        <v>218</v>
      </c>
      <c r="C43" s="26" t="s">
        <v>656</v>
      </c>
      <c r="D43" s="26" t="s">
        <v>658</v>
      </c>
      <c r="E43" s="66">
        <v>2</v>
      </c>
      <c r="F43" s="26" t="str">
        <f>D43</f>
        <v>The investments in the private limited company can be held for up to ten years and there are no interim plans</v>
      </c>
    </row>
    <row r="44" spans="1:6" x14ac:dyDescent="0.25">
      <c r="A44" s="81" t="s">
        <v>196</v>
      </c>
      <c r="B44" s="64" t="s">
        <v>218</v>
      </c>
      <c r="C44" s="26" t="s">
        <v>656</v>
      </c>
      <c r="D44" s="26" t="s">
        <v>659</v>
      </c>
      <c r="E44" s="66">
        <v>3</v>
      </c>
    </row>
    <row r="45" spans="1:6" x14ac:dyDescent="0.25">
      <c r="A45" s="81" t="s">
        <v>196</v>
      </c>
      <c r="B45" s="26" t="s">
        <v>219</v>
      </c>
      <c r="C45" s="26" t="s">
        <v>660</v>
      </c>
      <c r="D45" s="26" t="s">
        <v>573</v>
      </c>
      <c r="E45" s="66">
        <v>1</v>
      </c>
    </row>
    <row r="46" spans="1:6" x14ac:dyDescent="0.25">
      <c r="A46" s="81" t="s">
        <v>196</v>
      </c>
      <c r="B46" s="26" t="s">
        <v>219</v>
      </c>
      <c r="C46" s="26" t="s">
        <v>660</v>
      </c>
      <c r="D46" s="26" t="s">
        <v>574</v>
      </c>
      <c r="E46" s="66">
        <v>2</v>
      </c>
    </row>
    <row r="47" spans="1:6" x14ac:dyDescent="0.25">
      <c r="A47" s="81" t="s">
        <v>196</v>
      </c>
      <c r="B47" s="26" t="s">
        <v>219</v>
      </c>
      <c r="C47" s="26" t="s">
        <v>660</v>
      </c>
      <c r="D47" s="26" t="s">
        <v>575</v>
      </c>
      <c r="E47" s="66">
        <v>3</v>
      </c>
      <c r="F47" s="26" t="str">
        <f>D47</f>
        <v>That can happen, because investing is associated with risks</v>
      </c>
    </row>
    <row r="48" spans="1:6" x14ac:dyDescent="0.25">
      <c r="A48" s="26" t="s">
        <v>191</v>
      </c>
      <c r="B48" s="64" t="s">
        <v>192</v>
      </c>
      <c r="C48" s="26" t="s">
        <v>661</v>
      </c>
      <c r="D48" s="26" t="s">
        <v>662</v>
      </c>
      <c r="E48" s="77">
        <v>0</v>
      </c>
    </row>
    <row r="49" spans="1:6" x14ac:dyDescent="0.25">
      <c r="A49" s="26" t="s">
        <v>191</v>
      </c>
      <c r="B49" s="64" t="s">
        <v>192</v>
      </c>
      <c r="C49" s="26" t="s">
        <v>661</v>
      </c>
      <c r="D49" s="26" t="s">
        <v>578</v>
      </c>
      <c r="E49" s="77">
        <v>0</v>
      </c>
      <c r="F49" s="26" t="str">
        <f>D49</f>
        <v>sustainability aspects do not play a special role</v>
      </c>
    </row>
    <row r="50" spans="1:6" x14ac:dyDescent="0.25">
      <c r="A50" s="26" t="s">
        <v>191</v>
      </c>
      <c r="B50" s="64" t="s">
        <v>192</v>
      </c>
      <c r="C50" s="26" t="s">
        <v>661</v>
      </c>
      <c r="D50" s="26" t="s">
        <v>579</v>
      </c>
      <c r="E50" s="77">
        <v>0</v>
      </c>
    </row>
    <row r="51" spans="1:6" x14ac:dyDescent="0.25">
      <c r="A51" s="26" t="s">
        <v>191</v>
      </c>
      <c r="B51" s="64" t="s">
        <v>193</v>
      </c>
      <c r="C51" s="26" t="s">
        <v>663</v>
      </c>
      <c r="D51" s="26" t="s">
        <v>664</v>
      </c>
      <c r="E51" s="77">
        <v>0</v>
      </c>
      <c r="F51" s="26" t="str">
        <f>D51</f>
        <v>there are no sustainability preferences</v>
      </c>
    </row>
    <row r="52" spans="1:6" x14ac:dyDescent="0.25">
      <c r="A52" s="26" t="s">
        <v>191</v>
      </c>
      <c r="B52" s="64" t="s">
        <v>193</v>
      </c>
      <c r="C52" s="26" t="s">
        <v>663</v>
      </c>
      <c r="D52" s="26" t="s">
        <v>636</v>
      </c>
      <c r="E52" s="77">
        <v>0</v>
      </c>
    </row>
    <row r="53" spans="1:6" x14ac:dyDescent="0.25">
      <c r="A53" s="26" t="s">
        <v>191</v>
      </c>
      <c r="B53" s="64" t="s">
        <v>279</v>
      </c>
      <c r="C53" s="26" t="s">
        <v>665</v>
      </c>
      <c r="D53" s="26" t="s">
        <v>666</v>
      </c>
      <c r="E53" s="77">
        <v>0</v>
      </c>
      <c r="F53" s="26" t="str">
        <f>D53</f>
        <v>this must be more than a quarter</v>
      </c>
    </row>
    <row r="54" spans="1:6" x14ac:dyDescent="0.25">
      <c r="A54" s="26" t="s">
        <v>191</v>
      </c>
      <c r="B54" s="64" t="s">
        <v>279</v>
      </c>
      <c r="C54" s="26" t="s">
        <v>665</v>
      </c>
      <c r="D54" s="26" t="s">
        <v>667</v>
      </c>
      <c r="E54" s="77">
        <v>0</v>
      </c>
    </row>
    <row r="55" spans="1:6" x14ac:dyDescent="0.25">
      <c r="A55" s="26" t="s">
        <v>191</v>
      </c>
      <c r="B55" s="26" t="s">
        <v>280</v>
      </c>
      <c r="C55" s="26" t="s">
        <v>585</v>
      </c>
      <c r="D55" s="26" t="s">
        <v>668</v>
      </c>
      <c r="E55" s="77">
        <v>0</v>
      </c>
      <c r="F55" s="26" t="str">
        <f>D55</f>
        <v>are not a requirement for the completion of the portfolio</v>
      </c>
    </row>
    <row r="56" spans="1:6" x14ac:dyDescent="0.25">
      <c r="A56" s="26" t="s">
        <v>191</v>
      </c>
      <c r="B56" s="26" t="s">
        <v>280</v>
      </c>
      <c r="C56" s="26" t="s">
        <v>585</v>
      </c>
      <c r="D56" s="26" t="s">
        <v>587</v>
      </c>
      <c r="E56" s="77">
        <v>0</v>
      </c>
    </row>
    <row r="57" spans="1:6" x14ac:dyDescent="0.25">
      <c r="A57" s="64" t="s">
        <v>472</v>
      </c>
      <c r="B57" s="64" t="s">
        <v>472</v>
      </c>
      <c r="C57" s="26" t="s">
        <v>588</v>
      </c>
      <c r="D57" s="26" t="s">
        <v>589</v>
      </c>
      <c r="E57" s="70">
        <v>0</v>
      </c>
      <c r="F57" s="26" t="str">
        <f>D57</f>
        <v>No, that's not necessary</v>
      </c>
    </row>
    <row r="58" spans="1:6" x14ac:dyDescent="0.25">
      <c r="A58" s="64" t="s">
        <v>472</v>
      </c>
      <c r="B58" s="64" t="s">
        <v>472</v>
      </c>
      <c r="C58" s="26" t="s">
        <v>588</v>
      </c>
      <c r="D58" s="26" t="s">
        <v>524</v>
      </c>
      <c r="E58" s="70">
        <v>0</v>
      </c>
    </row>
    <row r="59" spans="1:6" x14ac:dyDescent="0.25">
      <c r="A59" s="64" t="s">
        <v>506</v>
      </c>
      <c r="B59" s="64" t="s">
        <v>506</v>
      </c>
      <c r="C59" s="26" t="s">
        <v>706</v>
      </c>
      <c r="D59" s="26" t="s">
        <v>704</v>
      </c>
      <c r="E59" s="70">
        <v>0</v>
      </c>
      <c r="F59" s="26" t="str">
        <f>D59</f>
        <v>I would appreciate including private investments in the portfolio of the BV</v>
      </c>
    </row>
    <row r="60" spans="1:6" x14ac:dyDescent="0.25">
      <c r="A60" s="64" t="s">
        <v>506</v>
      </c>
      <c r="B60" s="64" t="s">
        <v>506</v>
      </c>
      <c r="C60" s="26" t="s">
        <v>706</v>
      </c>
      <c r="D60" s="26" t="s">
        <v>669</v>
      </c>
      <c r="E60" s="26">
        <v>0</v>
      </c>
    </row>
    <row r="61" spans="1:6" x14ac:dyDescent="0.25">
      <c r="A61" s="64"/>
      <c r="B61" s="64"/>
      <c r="E61" s="7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9944-7AC4-DA4B-90AB-A7903448A0EB}">
  <sheetPr>
    <tabColor rgb="FF00B0F0"/>
  </sheetPr>
  <dimension ref="A1:I63"/>
  <sheetViews>
    <sheetView topLeftCell="D42" zoomScaleNormal="100" workbookViewId="0">
      <selection activeCell="A51" sqref="A51:XFD55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7.5" style="26" bestFit="1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395</v>
      </c>
      <c r="D2" s="26" t="s">
        <v>482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395</v>
      </c>
      <c r="D3" s="26" t="s">
        <v>483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395</v>
      </c>
      <c r="D4" s="26" t="s">
        <v>208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395</v>
      </c>
      <c r="D5" s="26" t="s">
        <v>201</v>
      </c>
      <c r="E5" s="70">
        <v>4</v>
      </c>
      <c r="F5" s="26" t="str">
        <f>D5</f>
        <v>om het te laten groeien op de langere termijn</v>
      </c>
    </row>
    <row r="6" spans="1:6" x14ac:dyDescent="0.25">
      <c r="A6" s="64" t="s">
        <v>136</v>
      </c>
      <c r="B6" s="64" t="s">
        <v>136</v>
      </c>
      <c r="C6" s="26" t="s">
        <v>395</v>
      </c>
      <c r="D6" s="26" t="s">
        <v>207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437</v>
      </c>
      <c r="D7" s="26" t="s">
        <v>311</v>
      </c>
      <c r="E7" s="70">
        <v>0</v>
      </c>
      <c r="F7" s="26" t="str">
        <f>D7</f>
        <v>nee, dat is in het antwoord op de vorige vraag voldoende verwoord</v>
      </c>
    </row>
    <row r="8" spans="1:6" x14ac:dyDescent="0.25">
      <c r="A8" s="64" t="s">
        <v>136</v>
      </c>
      <c r="B8" s="64" t="s">
        <v>313</v>
      </c>
      <c r="C8" s="26" t="s">
        <v>437</v>
      </c>
      <c r="D8" s="26" t="s">
        <v>312</v>
      </c>
      <c r="E8" s="70">
        <v>0</v>
      </c>
    </row>
    <row r="9" spans="1:6" x14ac:dyDescent="0.25">
      <c r="A9" s="26" t="s">
        <v>232</v>
      </c>
      <c r="B9" s="64" t="s">
        <v>446</v>
      </c>
      <c r="C9" s="26" t="s">
        <v>454</v>
      </c>
      <c r="D9" s="26" t="s">
        <v>369</v>
      </c>
      <c r="E9" s="65">
        <v>1</v>
      </c>
      <c r="F9" s="26" t="str">
        <f>D9</f>
        <v>is niet voldoende om de verwachte minimale kasstroom te kunnen handhaven</v>
      </c>
    </row>
    <row r="10" spans="1:6" x14ac:dyDescent="0.25">
      <c r="A10" s="26" t="s">
        <v>232</v>
      </c>
      <c r="B10" s="64" t="s">
        <v>446</v>
      </c>
      <c r="C10" s="26" t="s">
        <v>454</v>
      </c>
      <c r="D10" s="26" t="s">
        <v>370</v>
      </c>
      <c r="E10" s="65">
        <v>2</v>
      </c>
    </row>
    <row r="11" spans="1:6" x14ac:dyDescent="0.25">
      <c r="A11" s="26" t="s">
        <v>232</v>
      </c>
      <c r="B11" s="64" t="s">
        <v>446</v>
      </c>
      <c r="C11" s="26" t="s">
        <v>454</v>
      </c>
      <c r="D11" s="26" t="s">
        <v>371</v>
      </c>
      <c r="E11" s="65">
        <v>3</v>
      </c>
    </row>
    <row r="12" spans="1:6" x14ac:dyDescent="0.25">
      <c r="A12" s="26" t="s">
        <v>232</v>
      </c>
      <c r="B12" s="64" t="s">
        <v>447</v>
      </c>
      <c r="C12" s="26" t="s">
        <v>451</v>
      </c>
      <c r="D12" s="26" t="s">
        <v>376</v>
      </c>
      <c r="E12" s="65">
        <v>1</v>
      </c>
    </row>
    <row r="13" spans="1:6" x14ac:dyDescent="0.25">
      <c r="A13" s="26" t="s">
        <v>232</v>
      </c>
      <c r="B13" s="64" t="s">
        <v>447</v>
      </c>
      <c r="C13" s="26" t="s">
        <v>451</v>
      </c>
      <c r="D13" s="26" t="s">
        <v>372</v>
      </c>
      <c r="E13" s="65">
        <v>2</v>
      </c>
      <c r="F13" s="26" t="str">
        <f>D13</f>
        <v>is grotendeels vrij te beleggen en bestaat deels uit vastgoed en/of minder makkelijk verhandelbare vermogensbestanddelen</v>
      </c>
    </row>
    <row r="14" spans="1:6" x14ac:dyDescent="0.25">
      <c r="A14" s="26" t="s">
        <v>232</v>
      </c>
      <c r="B14" s="64" t="s">
        <v>447</v>
      </c>
      <c r="C14" s="26" t="s">
        <v>451</v>
      </c>
      <c r="D14" s="26" t="s">
        <v>285</v>
      </c>
      <c r="E14" s="65">
        <v>3</v>
      </c>
    </row>
    <row r="15" spans="1:6" x14ac:dyDescent="0.25">
      <c r="A15" s="26" t="s">
        <v>232</v>
      </c>
      <c r="B15" s="64" t="s">
        <v>138</v>
      </c>
      <c r="C15" s="26" t="s">
        <v>459</v>
      </c>
      <c r="D15" s="26" t="s">
        <v>236</v>
      </c>
      <c r="E15" s="65">
        <v>3</v>
      </c>
    </row>
    <row r="16" spans="1:6" x14ac:dyDescent="0.25">
      <c r="A16" s="26" t="s">
        <v>232</v>
      </c>
      <c r="B16" s="64" t="s">
        <v>138</v>
      </c>
      <c r="C16" s="26" t="s">
        <v>459</v>
      </c>
      <c r="D16" s="26" t="s">
        <v>206</v>
      </c>
      <c r="E16" s="65">
        <v>2</v>
      </c>
      <c r="F16" s="26" t="str">
        <f>D16</f>
        <v>is ongeveer de helft</v>
      </c>
    </row>
    <row r="17" spans="1:6" x14ac:dyDescent="0.25">
      <c r="A17" s="26" t="s">
        <v>232</v>
      </c>
      <c r="B17" s="64" t="s">
        <v>138</v>
      </c>
      <c r="C17" s="26" t="s">
        <v>459</v>
      </c>
      <c r="D17" s="26" t="s">
        <v>204</v>
      </c>
      <c r="E17" s="65">
        <v>1</v>
      </c>
    </row>
    <row r="18" spans="1:6" x14ac:dyDescent="0.25">
      <c r="A18" s="26" t="s">
        <v>232</v>
      </c>
      <c r="B18" s="64" t="s">
        <v>139</v>
      </c>
      <c r="C18" s="26" t="s">
        <v>399</v>
      </c>
      <c r="D18" s="26" t="s">
        <v>405</v>
      </c>
      <c r="E18" s="65">
        <v>1</v>
      </c>
    </row>
    <row r="19" spans="1:6" x14ac:dyDescent="0.25">
      <c r="A19" s="26" t="s">
        <v>232</v>
      </c>
      <c r="B19" s="64" t="s">
        <v>139</v>
      </c>
      <c r="C19" s="26" t="s">
        <v>399</v>
      </c>
      <c r="D19" s="26" t="s">
        <v>398</v>
      </c>
      <c r="E19" s="65">
        <v>2</v>
      </c>
    </row>
    <row r="20" spans="1:6" x14ac:dyDescent="0.25">
      <c r="A20" s="26" t="s">
        <v>232</v>
      </c>
      <c r="B20" s="64" t="s">
        <v>139</v>
      </c>
      <c r="C20" s="26" t="s">
        <v>399</v>
      </c>
      <c r="D20" s="26" t="s">
        <v>445</v>
      </c>
      <c r="E20" s="65">
        <v>3</v>
      </c>
      <c r="F20" s="26" t="str">
        <f>D20</f>
        <v>is meer dan voldoende en het vermogen van de vereniging kan blijven groeien, behoudens evt. onttrekkingen voor incidentele uitgaven</v>
      </c>
    </row>
    <row r="21" spans="1:6" x14ac:dyDescent="0.25">
      <c r="A21" s="26" t="s">
        <v>232</v>
      </c>
      <c r="B21" s="64" t="s">
        <v>189</v>
      </c>
      <c r="C21" s="26" t="s">
        <v>400</v>
      </c>
      <c r="D21" s="26" t="s">
        <v>401</v>
      </c>
      <c r="E21" s="65">
        <v>1</v>
      </c>
    </row>
    <row r="22" spans="1:6" x14ac:dyDescent="0.25">
      <c r="A22" s="26" t="s">
        <v>232</v>
      </c>
      <c r="B22" s="64" t="s">
        <v>189</v>
      </c>
      <c r="C22" s="26" t="s">
        <v>400</v>
      </c>
      <c r="D22" s="26" t="s">
        <v>402</v>
      </c>
      <c r="E22" s="65">
        <v>2</v>
      </c>
      <c r="F22" s="26" t="str">
        <f>D22</f>
        <v>kan de vereniging een waardedaling van de beleggingen aan van ongeveer 25%</v>
      </c>
    </row>
    <row r="23" spans="1:6" x14ac:dyDescent="0.25">
      <c r="A23" s="26" t="s">
        <v>232</v>
      </c>
      <c r="B23" s="64" t="s">
        <v>189</v>
      </c>
      <c r="C23" s="26" t="s">
        <v>400</v>
      </c>
      <c r="D23" s="26" t="s">
        <v>403</v>
      </c>
      <c r="E23" s="65">
        <v>3</v>
      </c>
    </row>
    <row r="24" spans="1:6" x14ac:dyDescent="0.25">
      <c r="A24" s="26" t="s">
        <v>232</v>
      </c>
      <c r="B24" s="64" t="s">
        <v>217</v>
      </c>
      <c r="C24" s="26" t="s">
        <v>392</v>
      </c>
      <c r="D24" s="26" t="s">
        <v>436</v>
      </c>
      <c r="E24" s="90">
        <v>0</v>
      </c>
    </row>
    <row r="25" spans="1:6" x14ac:dyDescent="0.25">
      <c r="A25" s="26" t="s">
        <v>232</v>
      </c>
      <c r="B25" s="64" t="s">
        <v>217</v>
      </c>
      <c r="C25" s="26" t="s">
        <v>392</v>
      </c>
      <c r="D25" s="26" t="s">
        <v>435</v>
      </c>
      <c r="E25" s="90">
        <v>0</v>
      </c>
      <c r="F25" s="26" t="str">
        <f>D25</f>
        <v>is belegd in een portefeuille aandelen en obligaties</v>
      </c>
    </row>
    <row r="26" spans="1:6" x14ac:dyDescent="0.25">
      <c r="A26" s="26" t="s">
        <v>232</v>
      </c>
      <c r="B26" s="64" t="s">
        <v>217</v>
      </c>
      <c r="C26" s="26" t="s">
        <v>392</v>
      </c>
      <c r="D26" s="26" t="s">
        <v>295</v>
      </c>
      <c r="E26" s="90">
        <v>0</v>
      </c>
    </row>
    <row r="27" spans="1:6" x14ac:dyDescent="0.25">
      <c r="A27" s="75" t="s">
        <v>226</v>
      </c>
      <c r="B27" s="64" t="s">
        <v>221</v>
      </c>
      <c r="C27" s="26" t="s">
        <v>228</v>
      </c>
      <c r="D27" s="26" t="s">
        <v>297</v>
      </c>
      <c r="E27" s="76">
        <v>1</v>
      </c>
    </row>
    <row r="28" spans="1:6" x14ac:dyDescent="0.25">
      <c r="A28" s="75" t="s">
        <v>226</v>
      </c>
      <c r="B28" s="64" t="s">
        <v>221</v>
      </c>
      <c r="C28" s="26" t="s">
        <v>228</v>
      </c>
      <c r="D28" s="26" t="s">
        <v>298</v>
      </c>
      <c r="E28" s="76">
        <v>2</v>
      </c>
      <c r="F28" s="26" t="str">
        <f>D28</f>
        <v>is gemiddeld en ik volg af en toe het financiële nieuws</v>
      </c>
    </row>
    <row r="29" spans="1:6" x14ac:dyDescent="0.25">
      <c r="A29" s="75" t="s">
        <v>226</v>
      </c>
      <c r="B29" s="64" t="s">
        <v>221</v>
      </c>
      <c r="C29" s="26" t="s">
        <v>228</v>
      </c>
      <c r="D29" s="26" t="s">
        <v>296</v>
      </c>
      <c r="E29" s="76">
        <v>3</v>
      </c>
    </row>
    <row r="30" spans="1:6" x14ac:dyDescent="0.25">
      <c r="A30" s="75" t="s">
        <v>226</v>
      </c>
      <c r="B30" s="64" t="s">
        <v>231</v>
      </c>
      <c r="C30" s="26" t="s">
        <v>227</v>
      </c>
      <c r="D30" s="26" t="s">
        <v>297</v>
      </c>
      <c r="E30" s="76">
        <v>1</v>
      </c>
    </row>
    <row r="31" spans="1:6" x14ac:dyDescent="0.25">
      <c r="A31" s="75" t="s">
        <v>226</v>
      </c>
      <c r="B31" s="64" t="s">
        <v>231</v>
      </c>
      <c r="C31" s="26" t="s">
        <v>227</v>
      </c>
      <c r="D31" s="26" t="s">
        <v>223</v>
      </c>
      <c r="E31" s="76">
        <v>2</v>
      </c>
      <c r="F31" s="26" t="str">
        <f>D31</f>
        <v>is aanwezig, ik weet wat aandelen en obligaties zijn</v>
      </c>
    </row>
    <row r="32" spans="1:6" x14ac:dyDescent="0.25">
      <c r="A32" s="75" t="s">
        <v>226</v>
      </c>
      <c r="B32" s="64" t="s">
        <v>231</v>
      </c>
      <c r="C32" s="26" t="s">
        <v>227</v>
      </c>
      <c r="D32" s="26" t="s">
        <v>299</v>
      </c>
      <c r="E32" s="76">
        <v>3</v>
      </c>
    </row>
    <row r="33" spans="1:6" x14ac:dyDescent="0.25">
      <c r="A33" s="75" t="s">
        <v>226</v>
      </c>
      <c r="B33" s="64" t="s">
        <v>195</v>
      </c>
      <c r="C33" s="26" t="s">
        <v>211</v>
      </c>
      <c r="D33" s="26" t="s">
        <v>203</v>
      </c>
      <c r="E33" s="76">
        <v>1</v>
      </c>
    </row>
    <row r="34" spans="1:6" x14ac:dyDescent="0.25">
      <c r="A34" s="75" t="s">
        <v>226</v>
      </c>
      <c r="B34" s="64" t="s">
        <v>195</v>
      </c>
      <c r="C34" s="26" t="s">
        <v>211</v>
      </c>
      <c r="D34" s="26" t="s">
        <v>287</v>
      </c>
      <c r="E34" s="76">
        <v>3</v>
      </c>
    </row>
    <row r="35" spans="1:6" x14ac:dyDescent="0.25">
      <c r="A35" s="75" t="s">
        <v>226</v>
      </c>
      <c r="B35" s="64" t="s">
        <v>195</v>
      </c>
      <c r="C35" s="26" t="s">
        <v>211</v>
      </c>
      <c r="D35" s="26" t="s">
        <v>239</v>
      </c>
      <c r="E35" s="76">
        <v>2</v>
      </c>
      <c r="F35" s="26" t="str">
        <f>D35</f>
        <v>heb ik ervaring, vooral met vermogensbeheer</v>
      </c>
    </row>
    <row r="36" spans="1:6" x14ac:dyDescent="0.25">
      <c r="A36" s="75" t="s">
        <v>226</v>
      </c>
      <c r="B36" s="64" t="s">
        <v>194</v>
      </c>
      <c r="C36" s="26" t="s">
        <v>222</v>
      </c>
      <c r="D36" s="26" t="s">
        <v>288</v>
      </c>
      <c r="E36" s="76">
        <v>1</v>
      </c>
    </row>
    <row r="37" spans="1:6" x14ac:dyDescent="0.25">
      <c r="A37" s="75" t="s">
        <v>226</v>
      </c>
      <c r="B37" s="64" t="s">
        <v>194</v>
      </c>
      <c r="C37" s="26" t="s">
        <v>222</v>
      </c>
      <c r="D37" s="26" t="s">
        <v>289</v>
      </c>
      <c r="E37" s="76">
        <v>2</v>
      </c>
    </row>
    <row r="38" spans="1:6" x14ac:dyDescent="0.25">
      <c r="A38" s="75" t="s">
        <v>226</v>
      </c>
      <c r="B38" s="64" t="s">
        <v>194</v>
      </c>
      <c r="C38" s="26" t="s">
        <v>222</v>
      </c>
      <c r="D38" s="26" t="s">
        <v>290</v>
      </c>
      <c r="E38" s="76">
        <v>3</v>
      </c>
      <c r="F38" s="26" t="str">
        <f>D38</f>
        <v>is ruim aanwezig</v>
      </c>
    </row>
    <row r="39" spans="1:6" x14ac:dyDescent="0.25">
      <c r="A39" s="81" t="s">
        <v>196</v>
      </c>
      <c r="B39" s="64" t="s">
        <v>190</v>
      </c>
      <c r="C39" s="26" t="s">
        <v>441</v>
      </c>
      <c r="D39" s="26" t="s">
        <v>404</v>
      </c>
      <c r="E39" s="66">
        <v>1</v>
      </c>
    </row>
    <row r="40" spans="1:6" x14ac:dyDescent="0.25">
      <c r="A40" s="81" t="s">
        <v>196</v>
      </c>
      <c r="B40" s="64" t="s">
        <v>190</v>
      </c>
      <c r="C40" s="26" t="s">
        <v>441</v>
      </c>
      <c r="D40" s="26" t="s">
        <v>422</v>
      </c>
      <c r="E40" s="66">
        <v>2</v>
      </c>
      <c r="F40" s="26" t="str">
        <f>D40</f>
        <v>is de vereniging bereid, op enig moment, ongeveer 25% waardedaling te accepteren</v>
      </c>
    </row>
    <row r="41" spans="1:6" x14ac:dyDescent="0.25">
      <c r="A41" s="81" t="s">
        <v>196</v>
      </c>
      <c r="B41" s="64" t="s">
        <v>190</v>
      </c>
      <c r="C41" s="26" t="s">
        <v>441</v>
      </c>
      <c r="D41" s="26" t="s">
        <v>423</v>
      </c>
      <c r="E41" s="66">
        <v>3</v>
      </c>
    </row>
    <row r="42" spans="1:6" x14ac:dyDescent="0.25">
      <c r="A42" s="81" t="s">
        <v>196</v>
      </c>
      <c r="B42" s="64" t="s">
        <v>141</v>
      </c>
      <c r="C42" s="26" t="s">
        <v>396</v>
      </c>
      <c r="D42" s="26" t="s">
        <v>348</v>
      </c>
      <c r="E42" s="66">
        <v>1</v>
      </c>
      <c r="F42" s="26" t="str">
        <f>D42</f>
        <v>Wij checken het geregeld en zitten er bovenop</v>
      </c>
    </row>
    <row r="43" spans="1:6" x14ac:dyDescent="0.25">
      <c r="A43" s="81" t="s">
        <v>196</v>
      </c>
      <c r="B43" s="64" t="s">
        <v>141</v>
      </c>
      <c r="C43" s="26" t="s">
        <v>396</v>
      </c>
      <c r="D43" s="26" t="s">
        <v>349</v>
      </c>
      <c r="E43" s="66">
        <v>2</v>
      </c>
    </row>
    <row r="44" spans="1:6" x14ac:dyDescent="0.25">
      <c r="A44" s="81" t="s">
        <v>196</v>
      </c>
      <c r="B44" s="64" t="s">
        <v>141</v>
      </c>
      <c r="C44" s="26" t="s">
        <v>396</v>
      </c>
      <c r="D44" s="26" t="s">
        <v>350</v>
      </c>
      <c r="E44" s="66">
        <v>3</v>
      </c>
    </row>
    <row r="45" spans="1:6" x14ac:dyDescent="0.25">
      <c r="A45" s="81" t="s">
        <v>196</v>
      </c>
      <c r="B45" s="64" t="s">
        <v>218</v>
      </c>
      <c r="C45" s="26" t="s">
        <v>465</v>
      </c>
      <c r="D45" s="26" t="s">
        <v>406</v>
      </c>
      <c r="E45" s="66">
        <v>1</v>
      </c>
    </row>
    <row r="46" spans="1:6" x14ac:dyDescent="0.25">
      <c r="A46" s="81" t="s">
        <v>196</v>
      </c>
      <c r="B46" s="64" t="s">
        <v>218</v>
      </c>
      <c r="C46" s="26" t="s">
        <v>465</v>
      </c>
      <c r="D46" s="26" t="s">
        <v>397</v>
      </c>
      <c r="E46" s="66">
        <v>2</v>
      </c>
      <c r="F46" s="26" t="str">
        <f>D46</f>
        <v>de beleggingen van de vereniging kunnen wel wel tien jaar aangehouden worden en er zijn geen tussentijdse plannen mee</v>
      </c>
    </row>
    <row r="47" spans="1:6" x14ac:dyDescent="0.25">
      <c r="A47" s="81" t="s">
        <v>196</v>
      </c>
      <c r="B47" s="64" t="s">
        <v>218</v>
      </c>
      <c r="C47" s="26" t="s">
        <v>465</v>
      </c>
      <c r="D47" s="26" t="s">
        <v>478</v>
      </c>
      <c r="E47" s="66">
        <v>3</v>
      </c>
    </row>
    <row r="48" spans="1:6" x14ac:dyDescent="0.25">
      <c r="A48" s="81" t="s">
        <v>196</v>
      </c>
      <c r="B48" s="26" t="s">
        <v>219</v>
      </c>
      <c r="C48" s="26" t="s">
        <v>393</v>
      </c>
      <c r="D48" s="26" t="s">
        <v>362</v>
      </c>
      <c r="E48" s="66">
        <v>1</v>
      </c>
    </row>
    <row r="49" spans="1:6" x14ac:dyDescent="0.25">
      <c r="A49" s="81" t="s">
        <v>196</v>
      </c>
      <c r="B49" s="26" t="s">
        <v>219</v>
      </c>
      <c r="C49" s="26" t="s">
        <v>393</v>
      </c>
      <c r="D49" s="26" t="s">
        <v>360</v>
      </c>
      <c r="E49" s="66">
        <v>2</v>
      </c>
    </row>
    <row r="50" spans="1:6" x14ac:dyDescent="0.25">
      <c r="A50" s="81" t="s">
        <v>196</v>
      </c>
      <c r="B50" s="26" t="s">
        <v>219</v>
      </c>
      <c r="C50" s="26" t="s">
        <v>393</v>
      </c>
      <c r="D50" s="26" t="s">
        <v>361</v>
      </c>
      <c r="E50" s="66">
        <v>3</v>
      </c>
      <c r="F50" s="26" t="str">
        <f>D50</f>
        <v>Dat kan gebeuren, want beleggen gaat nu eenmaal gepaard met risico's</v>
      </c>
    </row>
    <row r="51" spans="1:6" x14ac:dyDescent="0.25">
      <c r="A51" s="26" t="s">
        <v>191</v>
      </c>
      <c r="B51" s="64" t="s">
        <v>192</v>
      </c>
      <c r="C51" s="26" t="s">
        <v>394</v>
      </c>
      <c r="D51" s="26" t="s">
        <v>364</v>
      </c>
      <c r="E51" s="77">
        <v>0</v>
      </c>
    </row>
    <row r="52" spans="1:6" x14ac:dyDescent="0.25">
      <c r="A52" s="26" t="s">
        <v>191</v>
      </c>
      <c r="B52" s="64" t="s">
        <v>192</v>
      </c>
      <c r="C52" s="26" t="s">
        <v>394</v>
      </c>
      <c r="D52" s="26" t="s">
        <v>214</v>
      </c>
      <c r="E52" s="77">
        <v>0</v>
      </c>
      <c r="F52" s="26" t="str">
        <f>D52</f>
        <v>spelen duurzaamheidsaspecten geen bijzondere rol</v>
      </c>
    </row>
    <row r="53" spans="1:6" x14ac:dyDescent="0.25">
      <c r="A53" s="26" t="s">
        <v>191</v>
      </c>
      <c r="B53" s="64" t="s">
        <v>192</v>
      </c>
      <c r="C53" s="26" t="s">
        <v>394</v>
      </c>
      <c r="D53" s="26" t="s">
        <v>215</v>
      </c>
      <c r="E53" s="77">
        <v>0</v>
      </c>
    </row>
    <row r="54" spans="1:6" x14ac:dyDescent="0.25">
      <c r="A54" s="26" t="s">
        <v>191</v>
      </c>
      <c r="B54" s="64" t="s">
        <v>193</v>
      </c>
      <c r="C54" s="26" t="s">
        <v>390</v>
      </c>
      <c r="D54" s="26" t="s">
        <v>365</v>
      </c>
      <c r="E54" s="77">
        <v>0</v>
      </c>
      <c r="F54" s="26" t="str">
        <f>D54</f>
        <v>bestaan geen duurzaamheidsvoorkeuren</v>
      </c>
    </row>
    <row r="55" spans="1:6" x14ac:dyDescent="0.25">
      <c r="A55" s="26" t="s">
        <v>191</v>
      </c>
      <c r="B55" s="64" t="s">
        <v>193</v>
      </c>
      <c r="C55" s="26" t="s">
        <v>390</v>
      </c>
      <c r="D55" s="87" t="s">
        <v>357</v>
      </c>
      <c r="E55" s="77">
        <v>0</v>
      </c>
    </row>
    <row r="56" spans="1:6" x14ac:dyDescent="0.25">
      <c r="A56" s="26" t="s">
        <v>191</v>
      </c>
      <c r="B56" s="64" t="s">
        <v>279</v>
      </c>
      <c r="C56" s="26" t="s">
        <v>467</v>
      </c>
      <c r="D56" s="26" t="s">
        <v>366</v>
      </c>
      <c r="E56" s="77">
        <v>0</v>
      </c>
      <c r="F56" s="26" t="str">
        <f>D56</f>
        <v>moet dit meer zijn dan een kwart</v>
      </c>
    </row>
    <row r="57" spans="1:6" x14ac:dyDescent="0.25">
      <c r="A57" s="26" t="s">
        <v>191</v>
      </c>
      <c r="B57" s="64" t="s">
        <v>279</v>
      </c>
      <c r="C57" s="26" t="s">
        <v>467</v>
      </c>
      <c r="D57" s="26" t="s">
        <v>367</v>
      </c>
      <c r="E57" s="77">
        <v>0</v>
      </c>
    </row>
    <row r="58" spans="1:6" x14ac:dyDescent="0.25">
      <c r="A58" s="26" t="s">
        <v>191</v>
      </c>
      <c r="B58" s="26" t="s">
        <v>280</v>
      </c>
      <c r="C58" s="26" t="s">
        <v>464</v>
      </c>
      <c r="D58" s="26" t="s">
        <v>368</v>
      </c>
      <c r="E58" s="77">
        <v>0</v>
      </c>
      <c r="F58" s="26" t="str">
        <f>D58</f>
        <v>zijn  geen vereiste voor de invulling van de portefeuille</v>
      </c>
    </row>
    <row r="59" spans="1:6" x14ac:dyDescent="0.25">
      <c r="A59" s="26" t="s">
        <v>191</v>
      </c>
      <c r="B59" s="26" t="s">
        <v>280</v>
      </c>
      <c r="C59" s="26" t="s">
        <v>464</v>
      </c>
      <c r="D59" s="26" t="s">
        <v>391</v>
      </c>
      <c r="E59" s="77">
        <v>0</v>
      </c>
    </row>
    <row r="60" spans="1:6" x14ac:dyDescent="0.25">
      <c r="A60" s="64" t="s">
        <v>472</v>
      </c>
      <c r="B60" s="64" t="s">
        <v>472</v>
      </c>
      <c r="C60" s="26" t="s">
        <v>473</v>
      </c>
      <c r="D60" s="26" t="s">
        <v>474</v>
      </c>
      <c r="E60" s="70">
        <v>0</v>
      </c>
      <c r="F60" s="26" t="str">
        <f>D60</f>
        <v>nee, dat is niet nodig</v>
      </c>
    </row>
    <row r="61" spans="1:6" x14ac:dyDescent="0.25">
      <c r="A61" s="64" t="s">
        <v>472</v>
      </c>
      <c r="B61" s="64" t="s">
        <v>472</v>
      </c>
      <c r="C61" s="26" t="s">
        <v>473</v>
      </c>
      <c r="D61" s="26" t="s">
        <v>312</v>
      </c>
      <c r="E61" s="70">
        <v>0</v>
      </c>
    </row>
    <row r="62" spans="1:6" x14ac:dyDescent="0.25">
      <c r="A62" s="64" t="s">
        <v>506</v>
      </c>
      <c r="B62" s="64" t="s">
        <v>506</v>
      </c>
      <c r="C62" s="26" t="s">
        <v>509</v>
      </c>
      <c r="D62" s="26" t="s">
        <v>512</v>
      </c>
      <c r="E62" s="70">
        <v>0</v>
      </c>
      <c r="F62" s="26" t="s">
        <v>512</v>
      </c>
    </row>
    <row r="63" spans="1:6" x14ac:dyDescent="0.25">
      <c r="A63" s="64" t="s">
        <v>506</v>
      </c>
      <c r="B63" s="64" t="s">
        <v>506</v>
      </c>
      <c r="C63" s="26" t="s">
        <v>509</v>
      </c>
      <c r="D63" s="26" t="s">
        <v>513</v>
      </c>
      <c r="E63" s="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8B4B-05DC-BA44-84F6-EB3AF743C5FC}">
  <sheetPr>
    <tabColor rgb="FF00B0F0"/>
  </sheetPr>
  <dimension ref="A1:I63"/>
  <sheetViews>
    <sheetView tabSelected="1" topLeftCell="A3" zoomScaleNormal="100" workbookViewId="0">
      <selection activeCell="D25" sqref="D25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7.5" style="26" bestFit="1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670</v>
      </c>
      <c r="D2" s="26" t="s">
        <v>683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670</v>
      </c>
      <c r="D3" s="26" t="s">
        <v>518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670</v>
      </c>
      <c r="D4" s="26" t="s">
        <v>519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670</v>
      </c>
      <c r="D5" s="26" t="s">
        <v>520</v>
      </c>
      <c r="E5" s="70">
        <v>4</v>
      </c>
      <c r="F5" s="26" t="str">
        <f>D5</f>
        <v>to grow it in the longer term</v>
      </c>
    </row>
    <row r="6" spans="1:6" x14ac:dyDescent="0.25">
      <c r="A6" s="64" t="s">
        <v>136</v>
      </c>
      <c r="B6" s="64" t="s">
        <v>136</v>
      </c>
      <c r="C6" s="26" t="s">
        <v>670</v>
      </c>
      <c r="D6" s="26" t="s">
        <v>521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671</v>
      </c>
      <c r="D7" s="26" t="s">
        <v>523</v>
      </c>
      <c r="E7" s="70">
        <v>0</v>
      </c>
      <c r="F7" s="26" t="str">
        <f>D7</f>
        <v>No, that is sufficiently expressed in the answer to the previous question</v>
      </c>
    </row>
    <row r="8" spans="1:6" x14ac:dyDescent="0.25">
      <c r="A8" s="64" t="s">
        <v>136</v>
      </c>
      <c r="B8" s="64" t="s">
        <v>313</v>
      </c>
      <c r="C8" s="26" t="s">
        <v>671</v>
      </c>
      <c r="D8" s="26" t="s">
        <v>524</v>
      </c>
      <c r="E8" s="70">
        <v>0</v>
      </c>
    </row>
    <row r="9" spans="1:6" x14ac:dyDescent="0.25">
      <c r="A9" s="26" t="s">
        <v>232</v>
      </c>
      <c r="B9" s="64" t="s">
        <v>446</v>
      </c>
      <c r="C9" s="26" t="s">
        <v>672</v>
      </c>
      <c r="D9" s="26" t="s">
        <v>684</v>
      </c>
      <c r="E9" s="65">
        <v>1</v>
      </c>
      <c r="F9" s="26" t="str">
        <f>D9</f>
        <v>is not sufficient to maintain the expected minimum cash flow</v>
      </c>
    </row>
    <row r="10" spans="1:6" x14ac:dyDescent="0.25">
      <c r="A10" s="26" t="s">
        <v>232</v>
      </c>
      <c r="B10" s="64" t="s">
        <v>446</v>
      </c>
      <c r="C10" s="26" t="s">
        <v>672</v>
      </c>
      <c r="D10" s="26" t="s">
        <v>685</v>
      </c>
      <c r="E10" s="65">
        <v>2</v>
      </c>
    </row>
    <row r="11" spans="1:6" x14ac:dyDescent="0.25">
      <c r="A11" s="26" t="s">
        <v>232</v>
      </c>
      <c r="B11" s="64" t="s">
        <v>446</v>
      </c>
      <c r="C11" s="26" t="s">
        <v>672</v>
      </c>
      <c r="D11" s="26" t="s">
        <v>686</v>
      </c>
      <c r="E11" s="65">
        <v>3</v>
      </c>
    </row>
    <row r="12" spans="1:6" x14ac:dyDescent="0.25">
      <c r="A12" s="26" t="s">
        <v>232</v>
      </c>
      <c r="B12" s="64" t="s">
        <v>447</v>
      </c>
      <c r="C12" s="26" t="s">
        <v>673</v>
      </c>
      <c r="D12" s="26" t="s">
        <v>642</v>
      </c>
      <c r="E12" s="65">
        <v>1</v>
      </c>
    </row>
    <row r="13" spans="1:6" x14ac:dyDescent="0.25">
      <c r="A13" s="26" t="s">
        <v>232</v>
      </c>
      <c r="B13" s="64" t="s">
        <v>447</v>
      </c>
      <c r="C13" s="26" t="s">
        <v>673</v>
      </c>
      <c r="D13" s="26" t="s">
        <v>643</v>
      </c>
      <c r="E13" s="65">
        <v>2</v>
      </c>
      <c r="F13" s="26" t="str">
        <f>D13</f>
        <v>is largely free to invest and partly consists of real estate and/or less easily tradable assets</v>
      </c>
    </row>
    <row r="14" spans="1:6" x14ac:dyDescent="0.25">
      <c r="A14" s="26" t="s">
        <v>232</v>
      </c>
      <c r="B14" s="64" t="s">
        <v>447</v>
      </c>
      <c r="C14" s="26" t="s">
        <v>673</v>
      </c>
      <c r="D14" s="26" t="s">
        <v>532</v>
      </c>
      <c r="E14" s="65">
        <v>3</v>
      </c>
    </row>
    <row r="15" spans="1:6" x14ac:dyDescent="0.25">
      <c r="A15" s="26" t="s">
        <v>232</v>
      </c>
      <c r="B15" s="64" t="s">
        <v>138</v>
      </c>
      <c r="C15" s="26" t="s">
        <v>674</v>
      </c>
      <c r="D15" s="26" t="s">
        <v>534</v>
      </c>
      <c r="E15" s="65">
        <v>3</v>
      </c>
    </row>
    <row r="16" spans="1:6" x14ac:dyDescent="0.25">
      <c r="A16" s="26" t="s">
        <v>232</v>
      </c>
      <c r="B16" s="64" t="s">
        <v>138</v>
      </c>
      <c r="C16" s="26" t="s">
        <v>674</v>
      </c>
      <c r="D16" s="26" t="s">
        <v>535</v>
      </c>
      <c r="E16" s="65">
        <v>2</v>
      </c>
      <c r="F16" s="26" t="str">
        <f>D16</f>
        <v>is about half</v>
      </c>
    </row>
    <row r="17" spans="1:6" x14ac:dyDescent="0.25">
      <c r="A17" s="26" t="s">
        <v>232</v>
      </c>
      <c r="B17" s="64" t="s">
        <v>138</v>
      </c>
      <c r="C17" s="26" t="s">
        <v>674</v>
      </c>
      <c r="D17" s="26" t="s">
        <v>536</v>
      </c>
      <c r="E17" s="65">
        <v>1</v>
      </c>
    </row>
    <row r="18" spans="1:6" x14ac:dyDescent="0.25">
      <c r="A18" s="26" t="s">
        <v>232</v>
      </c>
      <c r="B18" s="64" t="s">
        <v>139</v>
      </c>
      <c r="C18" s="26" t="s">
        <v>675</v>
      </c>
      <c r="D18" s="26" t="s">
        <v>687</v>
      </c>
      <c r="E18" s="65">
        <v>1</v>
      </c>
    </row>
    <row r="19" spans="1:6" x14ac:dyDescent="0.25">
      <c r="A19" s="26" t="s">
        <v>232</v>
      </c>
      <c r="B19" s="64" t="s">
        <v>139</v>
      </c>
      <c r="C19" s="26" t="s">
        <v>675</v>
      </c>
      <c r="D19" s="26" t="s">
        <v>688</v>
      </c>
      <c r="E19" s="65">
        <v>2</v>
      </c>
    </row>
    <row r="20" spans="1:6" x14ac:dyDescent="0.25">
      <c r="A20" s="26" t="s">
        <v>232</v>
      </c>
      <c r="B20" s="64" t="s">
        <v>139</v>
      </c>
      <c r="C20" s="26" t="s">
        <v>675</v>
      </c>
      <c r="D20" s="26" t="s">
        <v>689</v>
      </c>
      <c r="E20" s="65">
        <v>3</v>
      </c>
      <c r="F20" s="26" t="str">
        <f>D20</f>
        <v>is more than sufficient and the assets of the association can continue to grow, except for possibly. withdrawals for incidental expenses</v>
      </c>
    </row>
    <row r="21" spans="1:6" x14ac:dyDescent="0.25">
      <c r="A21" s="26" t="s">
        <v>232</v>
      </c>
      <c r="B21" s="64" t="s">
        <v>189</v>
      </c>
      <c r="C21" s="26" t="s">
        <v>676</v>
      </c>
      <c r="D21" s="26" t="s">
        <v>690</v>
      </c>
      <c r="E21" s="65">
        <v>1</v>
      </c>
    </row>
    <row r="22" spans="1:6" x14ac:dyDescent="0.25">
      <c r="A22" s="26" t="s">
        <v>232</v>
      </c>
      <c r="B22" s="64" t="s">
        <v>189</v>
      </c>
      <c r="C22" s="26" t="s">
        <v>676</v>
      </c>
      <c r="D22" s="26" t="s">
        <v>691</v>
      </c>
      <c r="E22" s="65">
        <v>2</v>
      </c>
      <c r="F22" s="26" t="str">
        <f>D22</f>
        <v>the association can handle a decrease in the value of the investments of approximately 25%</v>
      </c>
    </row>
    <row r="23" spans="1:6" x14ac:dyDescent="0.25">
      <c r="A23" s="26" t="s">
        <v>232</v>
      </c>
      <c r="B23" s="64" t="s">
        <v>189</v>
      </c>
      <c r="C23" s="26" t="s">
        <v>676</v>
      </c>
      <c r="D23" s="26" t="s">
        <v>692</v>
      </c>
      <c r="E23" s="65">
        <v>3</v>
      </c>
    </row>
    <row r="24" spans="1:6" x14ac:dyDescent="0.25">
      <c r="A24" s="26" t="s">
        <v>232</v>
      </c>
      <c r="B24" s="64" t="s">
        <v>217</v>
      </c>
      <c r="C24" s="26" t="s">
        <v>677</v>
      </c>
      <c r="D24" s="26" t="s">
        <v>545</v>
      </c>
      <c r="E24" s="90">
        <v>0</v>
      </c>
    </row>
    <row r="25" spans="1:6" x14ac:dyDescent="0.25">
      <c r="A25" s="26" t="s">
        <v>232</v>
      </c>
      <c r="B25" s="64" t="s">
        <v>217</v>
      </c>
      <c r="C25" s="26" t="s">
        <v>677</v>
      </c>
      <c r="D25" s="26" t="s">
        <v>707</v>
      </c>
      <c r="E25" s="90">
        <v>0</v>
      </c>
      <c r="F25" s="26" t="str">
        <f>D25</f>
        <v>is invested in a portfolio of equities and bonds</v>
      </c>
    </row>
    <row r="26" spans="1:6" x14ac:dyDescent="0.25">
      <c r="A26" s="26" t="s">
        <v>232</v>
      </c>
      <c r="B26" s="64" t="s">
        <v>217</v>
      </c>
      <c r="C26" s="26" t="s">
        <v>677</v>
      </c>
      <c r="D26" s="26" t="s">
        <v>546</v>
      </c>
      <c r="E26" s="90">
        <v>0</v>
      </c>
    </row>
    <row r="27" spans="1:6" x14ac:dyDescent="0.25">
      <c r="A27" s="75" t="s">
        <v>226</v>
      </c>
      <c r="B27" s="64" t="s">
        <v>221</v>
      </c>
      <c r="C27" s="26" t="s">
        <v>547</v>
      </c>
      <c r="D27" s="26" t="s">
        <v>548</v>
      </c>
      <c r="E27" s="76">
        <v>1</v>
      </c>
    </row>
    <row r="28" spans="1:6" x14ac:dyDescent="0.25">
      <c r="A28" s="75" t="s">
        <v>226</v>
      </c>
      <c r="B28" s="64" t="s">
        <v>221</v>
      </c>
      <c r="C28" s="26" t="s">
        <v>547</v>
      </c>
      <c r="D28" s="26" t="s">
        <v>549</v>
      </c>
      <c r="E28" s="76">
        <v>2</v>
      </c>
      <c r="F28" s="26" t="str">
        <f>D28</f>
        <v>is average and I occasionally follow the financial news</v>
      </c>
    </row>
    <row r="29" spans="1:6" x14ac:dyDescent="0.25">
      <c r="A29" s="75" t="s">
        <v>226</v>
      </c>
      <c r="B29" s="64" t="s">
        <v>221</v>
      </c>
      <c r="C29" s="26" t="s">
        <v>547</v>
      </c>
      <c r="D29" s="26" t="s">
        <v>550</v>
      </c>
      <c r="E29" s="76">
        <v>3</v>
      </c>
    </row>
    <row r="30" spans="1:6" x14ac:dyDescent="0.25">
      <c r="A30" s="75" t="s">
        <v>226</v>
      </c>
      <c r="B30" s="64" t="s">
        <v>231</v>
      </c>
      <c r="C30" s="26" t="s">
        <v>551</v>
      </c>
      <c r="D30" s="26" t="s">
        <v>548</v>
      </c>
      <c r="E30" s="76">
        <v>1</v>
      </c>
    </row>
    <row r="31" spans="1:6" x14ac:dyDescent="0.25">
      <c r="A31" s="75" t="s">
        <v>226</v>
      </c>
      <c r="B31" s="64" t="s">
        <v>231</v>
      </c>
      <c r="C31" s="26" t="s">
        <v>551</v>
      </c>
      <c r="D31" s="26" t="s">
        <v>552</v>
      </c>
      <c r="E31" s="76">
        <v>2</v>
      </c>
      <c r="F31" s="26" t="str">
        <f>D31</f>
        <v>is present, I know what stocks and bonds are</v>
      </c>
    </row>
    <row r="32" spans="1:6" x14ac:dyDescent="0.25">
      <c r="A32" s="75" t="s">
        <v>226</v>
      </c>
      <c r="B32" s="64" t="s">
        <v>231</v>
      </c>
      <c r="C32" s="26" t="s">
        <v>551</v>
      </c>
      <c r="D32" s="26" t="s">
        <v>553</v>
      </c>
      <c r="E32" s="76">
        <v>3</v>
      </c>
    </row>
    <row r="33" spans="1:6" x14ac:dyDescent="0.25">
      <c r="A33" s="75" t="s">
        <v>226</v>
      </c>
      <c r="B33" s="64" t="s">
        <v>195</v>
      </c>
      <c r="C33" s="26" t="s">
        <v>554</v>
      </c>
      <c r="D33" s="26" t="s">
        <v>555</v>
      </c>
      <c r="E33" s="76">
        <v>1</v>
      </c>
    </row>
    <row r="34" spans="1:6" x14ac:dyDescent="0.25">
      <c r="A34" s="75" t="s">
        <v>226</v>
      </c>
      <c r="B34" s="64" t="s">
        <v>195</v>
      </c>
      <c r="C34" s="26" t="s">
        <v>554</v>
      </c>
      <c r="D34" s="26" t="s">
        <v>556</v>
      </c>
      <c r="E34" s="76">
        <v>3</v>
      </c>
    </row>
    <row r="35" spans="1:6" x14ac:dyDescent="0.25">
      <c r="A35" s="75" t="s">
        <v>226</v>
      </c>
      <c r="B35" s="64" t="s">
        <v>195</v>
      </c>
      <c r="C35" s="26" t="s">
        <v>554</v>
      </c>
      <c r="D35" s="26" t="s">
        <v>557</v>
      </c>
      <c r="E35" s="76">
        <v>2</v>
      </c>
      <c r="F35" s="26" t="str">
        <f>D35</f>
        <v>I have experience, especially with asset management</v>
      </c>
    </row>
    <row r="36" spans="1:6" x14ac:dyDescent="0.25">
      <c r="A36" s="75" t="s">
        <v>226</v>
      </c>
      <c r="B36" s="64" t="s">
        <v>194</v>
      </c>
      <c r="C36" s="26" t="s">
        <v>558</v>
      </c>
      <c r="D36" s="26" t="s">
        <v>559</v>
      </c>
      <c r="E36" s="76">
        <v>1</v>
      </c>
    </row>
    <row r="37" spans="1:6" x14ac:dyDescent="0.25">
      <c r="A37" s="75" t="s">
        <v>226</v>
      </c>
      <c r="B37" s="64" t="s">
        <v>194</v>
      </c>
      <c r="C37" s="26" t="s">
        <v>558</v>
      </c>
      <c r="D37" s="26" t="s">
        <v>560</v>
      </c>
      <c r="E37" s="76">
        <v>2</v>
      </c>
    </row>
    <row r="38" spans="1:6" x14ac:dyDescent="0.25">
      <c r="A38" s="75" t="s">
        <v>226</v>
      </c>
      <c r="B38" s="64" t="s">
        <v>194</v>
      </c>
      <c r="C38" s="26" t="s">
        <v>558</v>
      </c>
      <c r="D38" s="26" t="s">
        <v>561</v>
      </c>
      <c r="E38" s="76">
        <v>3</v>
      </c>
      <c r="F38" s="26" t="str">
        <f>D38</f>
        <v>is widely available</v>
      </c>
    </row>
    <row r="39" spans="1:6" x14ac:dyDescent="0.25">
      <c r="A39" s="81" t="s">
        <v>196</v>
      </c>
      <c r="B39" s="64" t="s">
        <v>190</v>
      </c>
      <c r="C39" s="26" t="s">
        <v>678</v>
      </c>
      <c r="D39" s="26" t="s">
        <v>693</v>
      </c>
      <c r="E39" s="66">
        <v>1</v>
      </c>
    </row>
    <row r="40" spans="1:6" x14ac:dyDescent="0.25">
      <c r="A40" s="81" t="s">
        <v>196</v>
      </c>
      <c r="B40" s="64" t="s">
        <v>190</v>
      </c>
      <c r="C40" s="26" t="s">
        <v>678</v>
      </c>
      <c r="D40" s="26" t="s">
        <v>694</v>
      </c>
      <c r="E40" s="66">
        <v>2</v>
      </c>
      <c r="F40" s="26" t="str">
        <f>D40</f>
        <v>is the association prepared, at any time, to accept about a 25% decrease in value</v>
      </c>
    </row>
    <row r="41" spans="1:6" x14ac:dyDescent="0.25">
      <c r="A41" s="81" t="s">
        <v>196</v>
      </c>
      <c r="B41" s="64" t="s">
        <v>190</v>
      </c>
      <c r="C41" s="26" t="s">
        <v>678</v>
      </c>
      <c r="D41" s="26" t="s">
        <v>695</v>
      </c>
      <c r="E41" s="66">
        <v>3</v>
      </c>
    </row>
    <row r="42" spans="1:6" x14ac:dyDescent="0.25">
      <c r="A42" s="81" t="s">
        <v>196</v>
      </c>
      <c r="B42" s="64" t="s">
        <v>141</v>
      </c>
      <c r="C42" s="26" t="s">
        <v>679</v>
      </c>
      <c r="D42" s="26" t="s">
        <v>623</v>
      </c>
      <c r="E42" s="66">
        <v>1</v>
      </c>
      <c r="F42" s="26" t="str">
        <f>D42</f>
        <v>We check it regularly and are on top of it</v>
      </c>
    </row>
    <row r="43" spans="1:6" x14ac:dyDescent="0.25">
      <c r="A43" s="81" t="s">
        <v>196</v>
      </c>
      <c r="B43" s="64" t="s">
        <v>141</v>
      </c>
      <c r="C43" s="26" t="s">
        <v>679</v>
      </c>
      <c r="D43" s="26" t="s">
        <v>624</v>
      </c>
      <c r="E43" s="66">
        <v>2</v>
      </c>
    </row>
    <row r="44" spans="1:6" x14ac:dyDescent="0.25">
      <c r="A44" s="81" t="s">
        <v>196</v>
      </c>
      <c r="B44" s="64" t="s">
        <v>141</v>
      </c>
      <c r="C44" s="26" t="s">
        <v>679</v>
      </c>
      <c r="D44" s="26" t="s">
        <v>625</v>
      </c>
      <c r="E44" s="66">
        <v>3</v>
      </c>
    </row>
    <row r="45" spans="1:6" x14ac:dyDescent="0.25">
      <c r="A45" s="81" t="s">
        <v>196</v>
      </c>
      <c r="B45" s="64" t="s">
        <v>218</v>
      </c>
      <c r="C45" s="26" t="s">
        <v>656</v>
      </c>
      <c r="D45" s="26" t="s">
        <v>696</v>
      </c>
      <c r="E45" s="66">
        <v>1</v>
      </c>
    </row>
    <row r="46" spans="1:6" x14ac:dyDescent="0.25">
      <c r="A46" s="81" t="s">
        <v>196</v>
      </c>
      <c r="B46" s="64" t="s">
        <v>218</v>
      </c>
      <c r="C46" s="26" t="s">
        <v>656</v>
      </c>
      <c r="D46" s="26" t="s">
        <v>697</v>
      </c>
      <c r="E46" s="66">
        <v>2</v>
      </c>
      <c r="F46" s="26" t="str">
        <f>D46</f>
        <v>The investments of the association can be held for up to ten years and there are no interim plans</v>
      </c>
    </row>
    <row r="47" spans="1:6" x14ac:dyDescent="0.25">
      <c r="A47" s="81" t="s">
        <v>196</v>
      </c>
      <c r="B47" s="64" t="s">
        <v>218</v>
      </c>
      <c r="C47" s="26" t="s">
        <v>656</v>
      </c>
      <c r="D47" s="26" t="s">
        <v>698</v>
      </c>
      <c r="E47" s="66">
        <v>3</v>
      </c>
    </row>
    <row r="48" spans="1:6" x14ac:dyDescent="0.25">
      <c r="A48" s="81" t="s">
        <v>196</v>
      </c>
      <c r="B48" s="26" t="s">
        <v>219</v>
      </c>
      <c r="C48" s="26" t="s">
        <v>680</v>
      </c>
      <c r="D48" s="26" t="s">
        <v>573</v>
      </c>
      <c r="E48" s="66">
        <v>1</v>
      </c>
    </row>
    <row r="49" spans="1:6" x14ac:dyDescent="0.25">
      <c r="A49" s="81" t="s">
        <v>196</v>
      </c>
      <c r="B49" s="26" t="s">
        <v>219</v>
      </c>
      <c r="C49" s="26" t="s">
        <v>680</v>
      </c>
      <c r="D49" s="26" t="s">
        <v>574</v>
      </c>
      <c r="E49" s="66">
        <v>2</v>
      </c>
    </row>
    <row r="50" spans="1:6" x14ac:dyDescent="0.25">
      <c r="A50" s="81" t="s">
        <v>196</v>
      </c>
      <c r="B50" s="26" t="s">
        <v>219</v>
      </c>
      <c r="C50" s="26" t="s">
        <v>680</v>
      </c>
      <c r="D50" s="26" t="s">
        <v>575</v>
      </c>
      <c r="E50" s="66">
        <v>3</v>
      </c>
      <c r="F50" s="26" t="str">
        <f>D50</f>
        <v>That can happen, because investing is associated with risks</v>
      </c>
    </row>
    <row r="51" spans="1:6" x14ac:dyDescent="0.25">
      <c r="A51" s="26" t="s">
        <v>191</v>
      </c>
      <c r="B51" s="64" t="s">
        <v>192</v>
      </c>
      <c r="C51" s="26" t="s">
        <v>681</v>
      </c>
      <c r="D51" s="26" t="s">
        <v>662</v>
      </c>
      <c r="E51" s="77">
        <v>0</v>
      </c>
    </row>
    <row r="52" spans="1:6" x14ac:dyDescent="0.25">
      <c r="A52" s="26" t="s">
        <v>191</v>
      </c>
      <c r="B52" s="64" t="s">
        <v>192</v>
      </c>
      <c r="C52" s="26" t="s">
        <v>681</v>
      </c>
      <c r="D52" s="26" t="s">
        <v>578</v>
      </c>
      <c r="E52" s="77">
        <v>0</v>
      </c>
      <c r="F52" s="26" t="str">
        <f>D52</f>
        <v>sustainability aspects do not play a special role</v>
      </c>
    </row>
    <row r="53" spans="1:6" x14ac:dyDescent="0.25">
      <c r="A53" s="26" t="s">
        <v>191</v>
      </c>
      <c r="B53" s="64" t="s">
        <v>192</v>
      </c>
      <c r="C53" s="26" t="s">
        <v>681</v>
      </c>
      <c r="D53" s="26" t="s">
        <v>579</v>
      </c>
      <c r="E53" s="77">
        <v>0</v>
      </c>
    </row>
    <row r="54" spans="1:6" x14ac:dyDescent="0.25">
      <c r="A54" s="26" t="s">
        <v>191</v>
      </c>
      <c r="B54" s="64" t="s">
        <v>193</v>
      </c>
      <c r="C54" s="26" t="s">
        <v>663</v>
      </c>
      <c r="D54" s="26" t="s">
        <v>664</v>
      </c>
      <c r="E54" s="77">
        <v>0</v>
      </c>
      <c r="F54" s="26" t="str">
        <f>D54</f>
        <v>there are no sustainability preferences</v>
      </c>
    </row>
    <row r="55" spans="1:6" x14ac:dyDescent="0.25">
      <c r="A55" s="26" t="s">
        <v>191</v>
      </c>
      <c r="B55" s="64" t="s">
        <v>193</v>
      </c>
      <c r="C55" s="26" t="s">
        <v>663</v>
      </c>
      <c r="D55" s="26" t="s">
        <v>636</v>
      </c>
      <c r="E55" s="77">
        <v>0</v>
      </c>
    </row>
    <row r="56" spans="1:6" x14ac:dyDescent="0.25">
      <c r="A56" s="26" t="s">
        <v>191</v>
      </c>
      <c r="B56" s="64" t="s">
        <v>279</v>
      </c>
      <c r="C56" s="26" t="s">
        <v>682</v>
      </c>
      <c r="D56" s="26" t="s">
        <v>666</v>
      </c>
      <c r="E56" s="77">
        <v>0</v>
      </c>
      <c r="F56" s="26" t="str">
        <f>D56</f>
        <v>this must be more than a quarter</v>
      </c>
    </row>
    <row r="57" spans="1:6" x14ac:dyDescent="0.25">
      <c r="A57" s="26" t="s">
        <v>191</v>
      </c>
      <c r="B57" s="64" t="s">
        <v>279</v>
      </c>
      <c r="C57" s="26" t="s">
        <v>682</v>
      </c>
      <c r="D57" s="26" t="s">
        <v>667</v>
      </c>
      <c r="E57" s="77">
        <v>0</v>
      </c>
    </row>
    <row r="58" spans="1:6" x14ac:dyDescent="0.25">
      <c r="A58" s="26" t="s">
        <v>191</v>
      </c>
      <c r="B58" s="26" t="s">
        <v>280</v>
      </c>
      <c r="C58" s="26" t="s">
        <v>585</v>
      </c>
      <c r="D58" s="26" t="s">
        <v>668</v>
      </c>
      <c r="E58" s="77">
        <v>0</v>
      </c>
      <c r="F58" s="26" t="str">
        <f>D58</f>
        <v>are not a requirement for the completion of the portfolio</v>
      </c>
    </row>
    <row r="59" spans="1:6" x14ac:dyDescent="0.25">
      <c r="A59" s="26" t="s">
        <v>191</v>
      </c>
      <c r="B59" s="26" t="s">
        <v>280</v>
      </c>
      <c r="C59" s="26" t="s">
        <v>585</v>
      </c>
      <c r="D59" s="26" t="s">
        <v>587</v>
      </c>
      <c r="E59" s="77">
        <v>0</v>
      </c>
    </row>
    <row r="60" spans="1:6" x14ac:dyDescent="0.25">
      <c r="A60" s="64" t="s">
        <v>472</v>
      </c>
      <c r="B60" s="64" t="s">
        <v>472</v>
      </c>
      <c r="C60" s="26" t="s">
        <v>588</v>
      </c>
      <c r="D60" s="26" t="s">
        <v>589</v>
      </c>
      <c r="E60" s="70">
        <v>0</v>
      </c>
      <c r="F60" s="26" t="str">
        <f>D60</f>
        <v>No, that's not necessary</v>
      </c>
    </row>
    <row r="61" spans="1:6" x14ac:dyDescent="0.25">
      <c r="A61" s="64" t="s">
        <v>472</v>
      </c>
      <c r="B61" s="64" t="s">
        <v>472</v>
      </c>
      <c r="C61" s="26" t="s">
        <v>588</v>
      </c>
      <c r="D61" s="26" t="s">
        <v>524</v>
      </c>
      <c r="E61" s="70">
        <v>0</v>
      </c>
    </row>
    <row r="62" spans="1:6" x14ac:dyDescent="0.25">
      <c r="A62" s="64" t="s">
        <v>506</v>
      </c>
      <c r="B62" s="64" t="s">
        <v>506</v>
      </c>
      <c r="C62" s="26" t="s">
        <v>706</v>
      </c>
      <c r="D62" s="26" t="s">
        <v>705</v>
      </c>
      <c r="E62" s="70">
        <v>0</v>
      </c>
      <c r="F62" s="26" t="str">
        <f>D62</f>
        <v>we would appreciate the inclusion of private investments in the portfolio of the association</v>
      </c>
    </row>
    <row r="63" spans="1:6" x14ac:dyDescent="0.25">
      <c r="A63" s="64" t="s">
        <v>506</v>
      </c>
      <c r="B63" s="64" t="s">
        <v>506</v>
      </c>
      <c r="C63" s="26" t="s">
        <v>706</v>
      </c>
      <c r="D63" s="26" t="s">
        <v>699</v>
      </c>
      <c r="E63" s="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C1DE-40BB-8444-B181-21CE52D587B7}">
  <sheetPr>
    <tabColor rgb="FF002060"/>
  </sheetPr>
  <dimension ref="A1:I67"/>
  <sheetViews>
    <sheetView workbookViewId="0">
      <selection activeCell="A2" sqref="A2:F66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7.5" style="26" bestFit="1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407</v>
      </c>
      <c r="D2" s="26" t="s">
        <v>482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407</v>
      </c>
      <c r="D3" s="26" t="s">
        <v>483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407</v>
      </c>
      <c r="D4" s="26" t="s">
        <v>208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407</v>
      </c>
      <c r="D5" s="26" t="s">
        <v>201</v>
      </c>
      <c r="E5" s="70">
        <v>4</v>
      </c>
      <c r="F5" s="26" t="str">
        <f>D5</f>
        <v>om het te laten groeien op de langere termijn</v>
      </c>
    </row>
    <row r="6" spans="1:6" x14ac:dyDescent="0.25">
      <c r="A6" s="64" t="s">
        <v>136</v>
      </c>
      <c r="B6" s="64" t="s">
        <v>136</v>
      </c>
      <c r="C6" s="26" t="s">
        <v>407</v>
      </c>
      <c r="D6" s="26" t="s">
        <v>207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438</v>
      </c>
      <c r="D7" s="26" t="s">
        <v>311</v>
      </c>
      <c r="E7" s="70">
        <v>0</v>
      </c>
      <c r="F7" s="26" t="str">
        <f>D7</f>
        <v>nee, dat is in het antwoord op de vorige vraag voldoende verwoord</v>
      </c>
    </row>
    <row r="8" spans="1:6" x14ac:dyDescent="0.25">
      <c r="A8" s="64" t="s">
        <v>136</v>
      </c>
      <c r="B8" s="64" t="s">
        <v>313</v>
      </c>
      <c r="C8" s="26" t="s">
        <v>438</v>
      </c>
      <c r="D8" s="26" t="s">
        <v>312</v>
      </c>
      <c r="E8" s="70">
        <v>0</v>
      </c>
    </row>
    <row r="9" spans="1:6" x14ac:dyDescent="0.25">
      <c r="A9" s="26" t="s">
        <v>232</v>
      </c>
      <c r="B9" s="64" t="s">
        <v>446</v>
      </c>
      <c r="C9" s="26" t="s">
        <v>455</v>
      </c>
      <c r="D9" s="26" t="s">
        <v>369</v>
      </c>
      <c r="E9" s="65">
        <v>1</v>
      </c>
      <c r="F9" s="26" t="str">
        <f>D9</f>
        <v>is niet voldoende om de verwachte minimale kasstroom te kunnen handhaven</v>
      </c>
    </row>
    <row r="10" spans="1:6" x14ac:dyDescent="0.25">
      <c r="A10" s="26" t="s">
        <v>232</v>
      </c>
      <c r="B10" s="64" t="s">
        <v>446</v>
      </c>
      <c r="C10" s="26" t="s">
        <v>455</v>
      </c>
      <c r="D10" s="26" t="s">
        <v>370</v>
      </c>
      <c r="E10" s="65">
        <v>2</v>
      </c>
    </row>
    <row r="11" spans="1:6" x14ac:dyDescent="0.25">
      <c r="A11" s="26" t="s">
        <v>232</v>
      </c>
      <c r="B11" s="64" t="s">
        <v>446</v>
      </c>
      <c r="C11" s="26" t="s">
        <v>455</v>
      </c>
      <c r="D11" s="26" t="s">
        <v>371</v>
      </c>
      <c r="E11" s="65">
        <v>3</v>
      </c>
    </row>
    <row r="12" spans="1:6" x14ac:dyDescent="0.25">
      <c r="A12" s="26" t="s">
        <v>232</v>
      </c>
      <c r="B12" s="64" t="s">
        <v>447</v>
      </c>
      <c r="C12" s="26" t="s">
        <v>452</v>
      </c>
      <c r="D12" s="26" t="s">
        <v>376</v>
      </c>
      <c r="E12" s="65">
        <v>1</v>
      </c>
    </row>
    <row r="13" spans="1:6" x14ac:dyDescent="0.25">
      <c r="A13" s="26" t="s">
        <v>232</v>
      </c>
      <c r="B13" s="64" t="s">
        <v>447</v>
      </c>
      <c r="C13" s="26" t="s">
        <v>452</v>
      </c>
      <c r="D13" s="26" t="s">
        <v>372</v>
      </c>
      <c r="E13" s="65">
        <v>2</v>
      </c>
      <c r="F13" s="26" t="str">
        <f>D13</f>
        <v>is grotendeels vrij te beleggen en bestaat deels uit vastgoed en/of minder makkelijk verhandelbare vermogensbestanddelen</v>
      </c>
    </row>
    <row r="14" spans="1:6" x14ac:dyDescent="0.25">
      <c r="A14" s="26" t="s">
        <v>232</v>
      </c>
      <c r="B14" s="64" t="s">
        <v>447</v>
      </c>
      <c r="C14" s="26" t="s">
        <v>452</v>
      </c>
      <c r="D14" s="26" t="s">
        <v>285</v>
      </c>
      <c r="E14" s="65">
        <v>3</v>
      </c>
    </row>
    <row r="15" spans="1:6" x14ac:dyDescent="0.25">
      <c r="A15" s="26" t="s">
        <v>232</v>
      </c>
      <c r="B15" s="64" t="s">
        <v>138</v>
      </c>
      <c r="C15" s="26" t="s">
        <v>460</v>
      </c>
      <c r="D15" s="26" t="s">
        <v>236</v>
      </c>
      <c r="E15" s="65">
        <v>3</v>
      </c>
    </row>
    <row r="16" spans="1:6" x14ac:dyDescent="0.25">
      <c r="A16" s="26" t="s">
        <v>232</v>
      </c>
      <c r="B16" s="64" t="s">
        <v>138</v>
      </c>
      <c r="C16" s="26" t="s">
        <v>460</v>
      </c>
      <c r="D16" s="26" t="s">
        <v>206</v>
      </c>
      <c r="E16" s="65">
        <v>2</v>
      </c>
      <c r="F16" s="26" t="str">
        <f>D16</f>
        <v>is ongeveer de helft</v>
      </c>
    </row>
    <row r="17" spans="1:6" x14ac:dyDescent="0.25">
      <c r="A17" s="26" t="s">
        <v>232</v>
      </c>
      <c r="B17" s="64" t="s">
        <v>138</v>
      </c>
      <c r="C17" s="26" t="s">
        <v>460</v>
      </c>
      <c r="D17" s="26" t="s">
        <v>204</v>
      </c>
      <c r="E17" s="65">
        <v>1</v>
      </c>
    </row>
    <row r="18" spans="1:6" x14ac:dyDescent="0.25">
      <c r="A18" s="26" t="s">
        <v>232</v>
      </c>
      <c r="B18" s="64" t="s">
        <v>139</v>
      </c>
      <c r="C18" s="26" t="s">
        <v>408</v>
      </c>
      <c r="D18" s="26" t="s">
        <v>409</v>
      </c>
      <c r="E18" s="65">
        <v>1</v>
      </c>
    </row>
    <row r="19" spans="1:6" x14ac:dyDescent="0.25">
      <c r="A19" s="26" t="s">
        <v>232</v>
      </c>
      <c r="B19" s="64" t="s">
        <v>139</v>
      </c>
      <c r="C19" s="26" t="s">
        <v>408</v>
      </c>
      <c r="D19" s="26" t="s">
        <v>398</v>
      </c>
      <c r="E19" s="65">
        <v>2</v>
      </c>
    </row>
    <row r="20" spans="1:6" x14ac:dyDescent="0.25">
      <c r="A20" s="26" t="s">
        <v>232</v>
      </c>
      <c r="B20" s="64" t="s">
        <v>139</v>
      </c>
      <c r="C20" s="26" t="s">
        <v>408</v>
      </c>
      <c r="D20" s="26" t="s">
        <v>444</v>
      </c>
      <c r="E20" s="65">
        <v>3</v>
      </c>
      <c r="F20" s="26" t="str">
        <f>D20</f>
        <v>is meer dan voldoende en het vermogen van de stichting kan blijven groeien, behoudens evt. onttrekkingen voor incidentele uitgaven</v>
      </c>
    </row>
    <row r="21" spans="1:6" x14ac:dyDescent="0.25">
      <c r="A21" s="26" t="s">
        <v>232</v>
      </c>
      <c r="B21" s="64" t="s">
        <v>189</v>
      </c>
      <c r="C21" s="26" t="s">
        <v>400</v>
      </c>
      <c r="D21" s="26" t="s">
        <v>410</v>
      </c>
      <c r="E21" s="65">
        <v>1</v>
      </c>
    </row>
    <row r="22" spans="1:6" x14ac:dyDescent="0.25">
      <c r="A22" s="26" t="s">
        <v>232</v>
      </c>
      <c r="B22" s="64" t="s">
        <v>189</v>
      </c>
      <c r="C22" s="26" t="s">
        <v>400</v>
      </c>
      <c r="D22" s="26" t="s">
        <v>411</v>
      </c>
      <c r="E22" s="65">
        <v>2</v>
      </c>
      <c r="F22" s="26" t="str">
        <f>D22</f>
        <v>kan de stichting een waardedaling van de beleggingen aan van ongeveer 25%</v>
      </c>
    </row>
    <row r="23" spans="1:6" x14ac:dyDescent="0.25">
      <c r="A23" s="26" t="s">
        <v>232</v>
      </c>
      <c r="B23" s="64" t="s">
        <v>189</v>
      </c>
      <c r="C23" s="26" t="s">
        <v>400</v>
      </c>
      <c r="D23" s="26" t="s">
        <v>412</v>
      </c>
      <c r="E23" s="65">
        <v>3</v>
      </c>
    </row>
    <row r="24" spans="1:6" x14ac:dyDescent="0.25">
      <c r="A24" s="26" t="s">
        <v>232</v>
      </c>
      <c r="B24" s="64" t="s">
        <v>217</v>
      </c>
      <c r="C24" s="26" t="s">
        <v>413</v>
      </c>
      <c r="D24" s="26" t="s">
        <v>436</v>
      </c>
      <c r="E24" s="90">
        <v>0</v>
      </c>
    </row>
    <row r="25" spans="1:6" x14ac:dyDescent="0.25">
      <c r="A25" s="26" t="s">
        <v>232</v>
      </c>
      <c r="B25" s="64" t="s">
        <v>217</v>
      </c>
      <c r="C25" s="26" t="s">
        <v>413</v>
      </c>
      <c r="D25" s="26" t="s">
        <v>435</v>
      </c>
      <c r="E25" s="90">
        <v>0</v>
      </c>
      <c r="F25" s="26" t="str">
        <f>D25</f>
        <v>is belegd in een portefeuille aandelen en obligaties</v>
      </c>
    </row>
    <row r="26" spans="1:6" x14ac:dyDescent="0.25">
      <c r="A26" s="26" t="s">
        <v>232</v>
      </c>
      <c r="B26" s="64" t="s">
        <v>217</v>
      </c>
      <c r="C26" s="26" t="s">
        <v>413</v>
      </c>
      <c r="D26" s="26" t="s">
        <v>295</v>
      </c>
      <c r="E26" s="90">
        <v>0</v>
      </c>
    </row>
    <row r="27" spans="1:6" x14ac:dyDescent="0.25">
      <c r="A27" s="75" t="s">
        <v>226</v>
      </c>
      <c r="B27" s="64" t="s">
        <v>221</v>
      </c>
      <c r="C27" s="26" t="s">
        <v>228</v>
      </c>
      <c r="D27" s="26" t="s">
        <v>297</v>
      </c>
      <c r="E27" s="76">
        <v>1</v>
      </c>
    </row>
    <row r="28" spans="1:6" x14ac:dyDescent="0.25">
      <c r="A28" s="75" t="s">
        <v>226</v>
      </c>
      <c r="B28" s="64" t="s">
        <v>221</v>
      </c>
      <c r="C28" s="26" t="s">
        <v>228</v>
      </c>
      <c r="D28" s="26" t="s">
        <v>298</v>
      </c>
      <c r="E28" s="76">
        <v>2</v>
      </c>
      <c r="F28" s="26" t="str">
        <f>D28</f>
        <v>is gemiddeld en ik volg af en toe het financiële nieuws</v>
      </c>
    </row>
    <row r="29" spans="1:6" x14ac:dyDescent="0.25">
      <c r="A29" s="75" t="s">
        <v>226</v>
      </c>
      <c r="B29" s="64" t="s">
        <v>221</v>
      </c>
      <c r="C29" s="26" t="s">
        <v>228</v>
      </c>
      <c r="D29" s="26" t="s">
        <v>296</v>
      </c>
      <c r="E29" s="76">
        <v>3</v>
      </c>
    </row>
    <row r="30" spans="1:6" x14ac:dyDescent="0.25">
      <c r="A30" s="75" t="s">
        <v>226</v>
      </c>
      <c r="B30" s="64" t="s">
        <v>231</v>
      </c>
      <c r="C30" s="26" t="s">
        <v>227</v>
      </c>
      <c r="D30" s="26" t="s">
        <v>297</v>
      </c>
      <c r="E30" s="76">
        <v>1</v>
      </c>
    </row>
    <row r="31" spans="1:6" x14ac:dyDescent="0.25">
      <c r="A31" s="75" t="s">
        <v>226</v>
      </c>
      <c r="B31" s="64" t="s">
        <v>231</v>
      </c>
      <c r="C31" s="26" t="s">
        <v>227</v>
      </c>
      <c r="D31" s="26" t="s">
        <v>223</v>
      </c>
      <c r="E31" s="76">
        <v>2</v>
      </c>
      <c r="F31" s="26" t="str">
        <f>D31</f>
        <v>is aanwezig, ik weet wat aandelen en obligaties zijn</v>
      </c>
    </row>
    <row r="32" spans="1:6" x14ac:dyDescent="0.25">
      <c r="A32" s="75" t="s">
        <v>226</v>
      </c>
      <c r="B32" s="64" t="s">
        <v>231</v>
      </c>
      <c r="C32" s="26" t="s">
        <v>227</v>
      </c>
      <c r="D32" s="26" t="s">
        <v>299</v>
      </c>
      <c r="E32" s="76">
        <v>3</v>
      </c>
    </row>
    <row r="33" spans="1:6" x14ac:dyDescent="0.25">
      <c r="A33" s="75" t="s">
        <v>226</v>
      </c>
      <c r="B33" s="64" t="s">
        <v>195</v>
      </c>
      <c r="C33" s="26" t="s">
        <v>211</v>
      </c>
      <c r="D33" s="26" t="s">
        <v>203</v>
      </c>
      <c r="E33" s="76">
        <v>1</v>
      </c>
    </row>
    <row r="34" spans="1:6" x14ac:dyDescent="0.25">
      <c r="A34" s="75" t="s">
        <v>226</v>
      </c>
      <c r="B34" s="64" t="s">
        <v>195</v>
      </c>
      <c r="C34" s="26" t="s">
        <v>211</v>
      </c>
      <c r="D34" s="26" t="s">
        <v>287</v>
      </c>
      <c r="E34" s="76">
        <v>3</v>
      </c>
    </row>
    <row r="35" spans="1:6" x14ac:dyDescent="0.25">
      <c r="A35" s="75" t="s">
        <v>226</v>
      </c>
      <c r="B35" s="64" t="s">
        <v>195</v>
      </c>
      <c r="C35" s="26" t="s">
        <v>211</v>
      </c>
      <c r="D35" s="26" t="s">
        <v>239</v>
      </c>
      <c r="E35" s="76">
        <v>2</v>
      </c>
      <c r="F35" s="26" t="str">
        <f>D35</f>
        <v>heb ik ervaring, vooral met vermogensbeheer</v>
      </c>
    </row>
    <row r="36" spans="1:6" x14ac:dyDescent="0.25">
      <c r="A36" s="75" t="s">
        <v>226</v>
      </c>
      <c r="B36" s="64" t="s">
        <v>194</v>
      </c>
      <c r="C36" s="26" t="s">
        <v>222</v>
      </c>
      <c r="D36" s="26" t="s">
        <v>288</v>
      </c>
      <c r="E36" s="76">
        <v>1</v>
      </c>
    </row>
    <row r="37" spans="1:6" x14ac:dyDescent="0.25">
      <c r="A37" s="75" t="s">
        <v>226</v>
      </c>
      <c r="B37" s="64" t="s">
        <v>194</v>
      </c>
      <c r="C37" s="26" t="s">
        <v>222</v>
      </c>
      <c r="D37" s="26" t="s">
        <v>289</v>
      </c>
      <c r="E37" s="76">
        <v>2</v>
      </c>
    </row>
    <row r="38" spans="1:6" x14ac:dyDescent="0.25">
      <c r="A38" s="75" t="s">
        <v>226</v>
      </c>
      <c r="B38" s="64" t="s">
        <v>194</v>
      </c>
      <c r="C38" s="26" t="s">
        <v>222</v>
      </c>
      <c r="D38" s="26" t="s">
        <v>290</v>
      </c>
      <c r="E38" s="76">
        <v>3</v>
      </c>
      <c r="F38" s="26" t="str">
        <f>D38</f>
        <v>is ruim aanwezig</v>
      </c>
    </row>
    <row r="39" spans="1:6" x14ac:dyDescent="0.25">
      <c r="A39" s="81" t="s">
        <v>196</v>
      </c>
      <c r="B39" s="64" t="s">
        <v>190</v>
      </c>
      <c r="C39" s="26" t="s">
        <v>442</v>
      </c>
      <c r="D39" s="26" t="s">
        <v>404</v>
      </c>
      <c r="E39" s="66">
        <v>1</v>
      </c>
    </row>
    <row r="40" spans="1:6" x14ac:dyDescent="0.25">
      <c r="A40" s="81" t="s">
        <v>196</v>
      </c>
      <c r="B40" s="64" t="s">
        <v>190</v>
      </c>
      <c r="C40" s="26" t="s">
        <v>442</v>
      </c>
      <c r="D40" s="26" t="s">
        <v>424</v>
      </c>
      <c r="E40" s="66">
        <v>2</v>
      </c>
      <c r="F40" s="26" t="str">
        <f>D40</f>
        <v>is de stichting bereid, op enig moment, ongeveer 25% waardedaling te accepteren</v>
      </c>
    </row>
    <row r="41" spans="1:6" x14ac:dyDescent="0.25">
      <c r="A41" s="81" t="s">
        <v>196</v>
      </c>
      <c r="B41" s="64" t="s">
        <v>190</v>
      </c>
      <c r="C41" s="26" t="s">
        <v>442</v>
      </c>
      <c r="D41" s="26" t="s">
        <v>425</v>
      </c>
      <c r="E41" s="66">
        <v>3</v>
      </c>
    </row>
    <row r="42" spans="1:6" x14ac:dyDescent="0.25">
      <c r="A42" s="81" t="s">
        <v>196</v>
      </c>
      <c r="B42" s="64" t="s">
        <v>141</v>
      </c>
      <c r="C42" s="26" t="s">
        <v>414</v>
      </c>
      <c r="D42" s="26" t="s">
        <v>348</v>
      </c>
      <c r="E42" s="66">
        <v>1</v>
      </c>
      <c r="F42" s="26" t="str">
        <f>D42</f>
        <v>Wij checken het geregeld en zitten er bovenop</v>
      </c>
    </row>
    <row r="43" spans="1:6" x14ac:dyDescent="0.25">
      <c r="A43" s="81" t="s">
        <v>196</v>
      </c>
      <c r="B43" s="64" t="s">
        <v>141</v>
      </c>
      <c r="C43" s="26" t="s">
        <v>414</v>
      </c>
      <c r="D43" s="26" t="s">
        <v>349</v>
      </c>
      <c r="E43" s="66">
        <v>2</v>
      </c>
    </row>
    <row r="44" spans="1:6" x14ac:dyDescent="0.25">
      <c r="A44" s="81" t="s">
        <v>196</v>
      </c>
      <c r="B44" s="64" t="s">
        <v>141</v>
      </c>
      <c r="C44" s="26" t="s">
        <v>414</v>
      </c>
      <c r="D44" s="26" t="s">
        <v>350</v>
      </c>
      <c r="E44" s="66">
        <v>3</v>
      </c>
    </row>
    <row r="45" spans="1:6" x14ac:dyDescent="0.25">
      <c r="A45" s="81" t="s">
        <v>196</v>
      </c>
      <c r="B45" s="64" t="s">
        <v>218</v>
      </c>
      <c r="C45" s="26" t="s">
        <v>465</v>
      </c>
      <c r="D45" s="26" t="s">
        <v>415</v>
      </c>
      <c r="E45" s="66">
        <v>1</v>
      </c>
    </row>
    <row r="46" spans="1:6" x14ac:dyDescent="0.25">
      <c r="A46" s="81" t="s">
        <v>196</v>
      </c>
      <c r="B46" s="64" t="s">
        <v>218</v>
      </c>
      <c r="C46" s="26" t="s">
        <v>465</v>
      </c>
      <c r="D46" s="26" t="s">
        <v>471</v>
      </c>
      <c r="E46" s="66">
        <v>2</v>
      </c>
      <c r="F46" s="26" t="str">
        <f>D46</f>
        <v>de beleggingen van de stichting kunnen wel  tien jaar aangehouden worden en er zijn geen tussentijdse plannen mee</v>
      </c>
    </row>
    <row r="47" spans="1:6" x14ac:dyDescent="0.25">
      <c r="A47" s="81" t="s">
        <v>196</v>
      </c>
      <c r="B47" s="64" t="s">
        <v>218</v>
      </c>
      <c r="C47" s="26" t="s">
        <v>465</v>
      </c>
      <c r="D47" s="26" t="s">
        <v>479</v>
      </c>
      <c r="E47" s="66">
        <v>3</v>
      </c>
    </row>
    <row r="48" spans="1:6" x14ac:dyDescent="0.25">
      <c r="A48" s="81" t="s">
        <v>196</v>
      </c>
      <c r="B48" s="26" t="s">
        <v>219</v>
      </c>
      <c r="C48" s="26" t="s">
        <v>416</v>
      </c>
      <c r="D48" s="26" t="s">
        <v>362</v>
      </c>
      <c r="E48" s="66">
        <v>1</v>
      </c>
    </row>
    <row r="49" spans="1:6" x14ac:dyDescent="0.25">
      <c r="A49" s="81" t="s">
        <v>196</v>
      </c>
      <c r="B49" s="26" t="s">
        <v>219</v>
      </c>
      <c r="C49" s="26" t="s">
        <v>416</v>
      </c>
      <c r="D49" s="26" t="s">
        <v>360</v>
      </c>
      <c r="E49" s="66">
        <v>2</v>
      </c>
    </row>
    <row r="50" spans="1:6" x14ac:dyDescent="0.25">
      <c r="A50" s="81" t="s">
        <v>196</v>
      </c>
      <c r="B50" s="26" t="s">
        <v>219</v>
      </c>
      <c r="C50" s="26" t="s">
        <v>416</v>
      </c>
      <c r="D50" s="26" t="s">
        <v>361</v>
      </c>
      <c r="E50" s="66">
        <v>3</v>
      </c>
      <c r="F50" s="26" t="str">
        <f>D50</f>
        <v>Dat kan gebeuren, want beleggen gaat nu eenmaal gepaard met risico's</v>
      </c>
    </row>
    <row r="51" spans="1:6" x14ac:dyDescent="0.25">
      <c r="A51" s="81" t="s">
        <v>300</v>
      </c>
      <c r="B51" s="64" t="s">
        <v>301</v>
      </c>
      <c r="C51" s="26" t="s">
        <v>303</v>
      </c>
      <c r="D51" s="26" t="s">
        <v>304</v>
      </c>
      <c r="E51" s="63">
        <v>0</v>
      </c>
      <c r="F51" s="26" t="s">
        <v>304</v>
      </c>
    </row>
    <row r="52" spans="1:6" x14ac:dyDescent="0.25">
      <c r="A52" s="81" t="s">
        <v>300</v>
      </c>
      <c r="B52" s="64" t="s">
        <v>301</v>
      </c>
      <c r="C52" s="26" t="s">
        <v>303</v>
      </c>
      <c r="D52" s="26" t="s">
        <v>305</v>
      </c>
      <c r="E52" s="63">
        <v>0</v>
      </c>
    </row>
    <row r="53" spans="1:6" x14ac:dyDescent="0.25">
      <c r="A53" s="81" t="s">
        <v>300</v>
      </c>
      <c r="B53" s="64" t="s">
        <v>302</v>
      </c>
      <c r="C53" s="26" t="s">
        <v>306</v>
      </c>
      <c r="D53" s="26" t="s">
        <v>307</v>
      </c>
      <c r="E53" s="63">
        <v>0</v>
      </c>
      <c r="F53" s="26" t="s">
        <v>307</v>
      </c>
    </row>
    <row r="54" spans="1:6" x14ac:dyDescent="0.25">
      <c r="A54" s="81" t="s">
        <v>300</v>
      </c>
      <c r="B54" s="64" t="s">
        <v>302</v>
      </c>
      <c r="C54" s="26" t="s">
        <v>306</v>
      </c>
      <c r="D54" s="26" t="s">
        <v>308</v>
      </c>
      <c r="E54" s="63">
        <v>0</v>
      </c>
    </row>
    <row r="55" spans="1:6" x14ac:dyDescent="0.25">
      <c r="A55" s="81" t="s">
        <v>300</v>
      </c>
      <c r="B55" s="64" t="s">
        <v>302</v>
      </c>
      <c r="C55" s="26" t="s">
        <v>306</v>
      </c>
      <c r="D55" s="26" t="s">
        <v>309</v>
      </c>
      <c r="E55" s="63">
        <v>0</v>
      </c>
    </row>
    <row r="56" spans="1:6" x14ac:dyDescent="0.25">
      <c r="A56" s="26" t="s">
        <v>191</v>
      </c>
      <c r="B56" s="64" t="s">
        <v>192</v>
      </c>
      <c r="C56" s="26" t="s">
        <v>417</v>
      </c>
      <c r="D56" s="26" t="s">
        <v>364</v>
      </c>
      <c r="E56" s="77">
        <v>0</v>
      </c>
    </row>
    <row r="57" spans="1:6" x14ac:dyDescent="0.25">
      <c r="A57" s="26" t="s">
        <v>191</v>
      </c>
      <c r="B57" s="64" t="s">
        <v>192</v>
      </c>
      <c r="C57" s="26" t="s">
        <v>417</v>
      </c>
      <c r="D57" s="26" t="s">
        <v>214</v>
      </c>
      <c r="E57" s="77">
        <v>0</v>
      </c>
      <c r="F57" s="26" t="str">
        <f>D57</f>
        <v>spelen duurzaamheidsaspecten geen bijzondere rol</v>
      </c>
    </row>
    <row r="58" spans="1:6" x14ac:dyDescent="0.25">
      <c r="A58" s="26" t="s">
        <v>191</v>
      </c>
      <c r="B58" s="64" t="s">
        <v>192</v>
      </c>
      <c r="C58" s="26" t="s">
        <v>417</v>
      </c>
      <c r="D58" s="26" t="s">
        <v>215</v>
      </c>
      <c r="E58" s="77">
        <v>0</v>
      </c>
    </row>
    <row r="59" spans="1:6" x14ac:dyDescent="0.25">
      <c r="A59" s="26" t="s">
        <v>191</v>
      </c>
      <c r="B59" s="64" t="s">
        <v>193</v>
      </c>
      <c r="C59" s="26" t="s">
        <v>390</v>
      </c>
      <c r="D59" s="26" t="s">
        <v>365</v>
      </c>
      <c r="E59" s="77">
        <v>0</v>
      </c>
      <c r="F59" s="26" t="str">
        <f>D59</f>
        <v>bestaan geen duurzaamheidsvoorkeuren</v>
      </c>
    </row>
    <row r="60" spans="1:6" x14ac:dyDescent="0.25">
      <c r="A60" s="26" t="s">
        <v>191</v>
      </c>
      <c r="B60" s="64" t="s">
        <v>193</v>
      </c>
      <c r="C60" s="26" t="s">
        <v>390</v>
      </c>
      <c r="D60" s="87" t="s">
        <v>357</v>
      </c>
      <c r="E60" s="77">
        <v>0</v>
      </c>
    </row>
    <row r="61" spans="1:6" x14ac:dyDescent="0.25">
      <c r="A61" s="26" t="s">
        <v>191</v>
      </c>
      <c r="B61" s="64" t="s">
        <v>279</v>
      </c>
      <c r="C61" s="26" t="s">
        <v>466</v>
      </c>
      <c r="D61" s="26" t="s">
        <v>366</v>
      </c>
      <c r="E61" s="77">
        <v>0</v>
      </c>
      <c r="F61" s="26" t="str">
        <f>D61</f>
        <v>moet dit meer zijn dan een kwart</v>
      </c>
    </row>
    <row r="62" spans="1:6" x14ac:dyDescent="0.25">
      <c r="A62" s="26" t="s">
        <v>191</v>
      </c>
      <c r="B62" s="64" t="s">
        <v>279</v>
      </c>
      <c r="C62" s="26" t="s">
        <v>466</v>
      </c>
      <c r="D62" s="26" t="s">
        <v>367</v>
      </c>
      <c r="E62" s="77">
        <v>0</v>
      </c>
    </row>
    <row r="63" spans="1:6" x14ac:dyDescent="0.25">
      <c r="A63" s="26" t="s">
        <v>191</v>
      </c>
      <c r="B63" s="26" t="s">
        <v>280</v>
      </c>
      <c r="C63" s="26" t="s">
        <v>464</v>
      </c>
      <c r="D63" s="26" t="s">
        <v>368</v>
      </c>
      <c r="E63" s="77">
        <v>0</v>
      </c>
      <c r="F63" s="26" t="str">
        <f>D63</f>
        <v>zijn  geen vereiste voor de invulling van de portefeuille</v>
      </c>
    </row>
    <row r="64" spans="1:6" x14ac:dyDescent="0.25">
      <c r="A64" s="26" t="s">
        <v>191</v>
      </c>
      <c r="B64" s="26" t="s">
        <v>280</v>
      </c>
      <c r="C64" s="26" t="s">
        <v>464</v>
      </c>
      <c r="D64" s="26" t="s">
        <v>391</v>
      </c>
      <c r="E64" s="77">
        <v>0</v>
      </c>
    </row>
    <row r="65" spans="1:6" x14ac:dyDescent="0.25">
      <c r="A65" s="64" t="s">
        <v>472</v>
      </c>
      <c r="B65" s="64" t="s">
        <v>472</v>
      </c>
      <c r="C65" s="26" t="s">
        <v>473</v>
      </c>
      <c r="D65" s="26" t="s">
        <v>474</v>
      </c>
      <c r="E65" s="70">
        <v>0</v>
      </c>
      <c r="F65" s="26" t="str">
        <f>D65</f>
        <v>nee, dat is niet nodig</v>
      </c>
    </row>
    <row r="66" spans="1:6" x14ac:dyDescent="0.25">
      <c r="A66" s="64" t="s">
        <v>472</v>
      </c>
      <c r="B66" s="64" t="s">
        <v>472</v>
      </c>
      <c r="C66" s="26" t="s">
        <v>473</v>
      </c>
      <c r="D66" s="26" t="s">
        <v>312</v>
      </c>
      <c r="E66" s="70">
        <v>0</v>
      </c>
    </row>
    <row r="67" spans="1:6" x14ac:dyDescent="0.25">
      <c r="A67" s="64"/>
      <c r="B67" s="64"/>
      <c r="E67" s="7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F98F-4F52-9443-9612-46472BBBE6B5}">
  <sheetPr>
    <tabColor rgb="FF7030A0"/>
  </sheetPr>
  <dimension ref="A1:I67"/>
  <sheetViews>
    <sheetView workbookViewId="0">
      <selection activeCell="A2" sqref="A2:F66"/>
    </sheetView>
  </sheetViews>
  <sheetFormatPr baseColWidth="10" defaultRowHeight="17" x14ac:dyDescent="0.25"/>
  <cols>
    <col min="1" max="1" width="22.1640625" style="26" bestFit="1" customWidth="1"/>
    <col min="2" max="2" width="34.6640625" style="26" bestFit="1" customWidth="1"/>
    <col min="3" max="3" width="115.33203125" style="26" bestFit="1" customWidth="1"/>
    <col min="4" max="4" width="127.1640625" style="26" bestFit="1" customWidth="1"/>
    <col min="5" max="5" width="7.5" style="26" bestFit="1" customWidth="1"/>
    <col min="6" max="6" width="79.83203125" style="26" bestFit="1" customWidth="1"/>
    <col min="7" max="9" width="10.83203125" style="26"/>
  </cols>
  <sheetData>
    <row r="1" spans="1:6" x14ac:dyDescent="0.25">
      <c r="A1" s="26" t="s">
        <v>188</v>
      </c>
      <c r="B1" s="64" t="s">
        <v>147</v>
      </c>
      <c r="C1" s="26" t="s">
        <v>123</v>
      </c>
      <c r="D1" s="26" t="s">
        <v>124</v>
      </c>
      <c r="E1" s="26" t="s">
        <v>125</v>
      </c>
      <c r="F1" s="26" t="s">
        <v>184</v>
      </c>
    </row>
    <row r="2" spans="1:6" x14ac:dyDescent="0.25">
      <c r="A2" s="64" t="s">
        <v>136</v>
      </c>
      <c r="B2" s="64" t="s">
        <v>136</v>
      </c>
      <c r="C2" s="26" t="s">
        <v>484</v>
      </c>
      <c r="D2" s="26" t="s">
        <v>482</v>
      </c>
      <c r="E2" s="70">
        <v>1</v>
      </c>
    </row>
    <row r="3" spans="1:6" x14ac:dyDescent="0.25">
      <c r="A3" s="64" t="s">
        <v>136</v>
      </c>
      <c r="B3" s="64" t="s">
        <v>136</v>
      </c>
      <c r="C3" s="26" t="s">
        <v>484</v>
      </c>
      <c r="D3" s="26" t="s">
        <v>483</v>
      </c>
      <c r="E3" s="70">
        <v>2</v>
      </c>
    </row>
    <row r="4" spans="1:6" x14ac:dyDescent="0.25">
      <c r="A4" s="64" t="s">
        <v>136</v>
      </c>
      <c r="B4" s="64" t="s">
        <v>136</v>
      </c>
      <c r="C4" s="26" t="s">
        <v>484</v>
      </c>
      <c r="D4" s="26" t="s">
        <v>208</v>
      </c>
      <c r="E4" s="70">
        <v>3</v>
      </c>
    </row>
    <row r="5" spans="1:6" x14ac:dyDescent="0.25">
      <c r="A5" s="64" t="s">
        <v>136</v>
      </c>
      <c r="B5" s="64" t="s">
        <v>136</v>
      </c>
      <c r="C5" s="26" t="s">
        <v>484</v>
      </c>
      <c r="D5" s="26" t="s">
        <v>201</v>
      </c>
      <c r="E5" s="70">
        <v>4</v>
      </c>
      <c r="F5" s="26" t="str">
        <f>D5</f>
        <v>om het te laten groeien op de langere termijn</v>
      </c>
    </row>
    <row r="6" spans="1:6" x14ac:dyDescent="0.25">
      <c r="A6" s="64" t="s">
        <v>136</v>
      </c>
      <c r="B6" s="64" t="s">
        <v>136</v>
      </c>
      <c r="C6" s="26" t="s">
        <v>484</v>
      </c>
      <c r="D6" s="26" t="s">
        <v>207</v>
      </c>
      <c r="E6" s="70">
        <v>5</v>
      </c>
    </row>
    <row r="7" spans="1:6" x14ac:dyDescent="0.25">
      <c r="A7" s="64" t="s">
        <v>136</v>
      </c>
      <c r="B7" s="64" t="s">
        <v>313</v>
      </c>
      <c r="C7" s="26" t="s">
        <v>485</v>
      </c>
      <c r="D7" s="26" t="s">
        <v>311</v>
      </c>
      <c r="E7" s="70">
        <v>0</v>
      </c>
      <c r="F7" s="26" t="str">
        <f>D7</f>
        <v>nee, dat is in het antwoord op de vorige vraag voldoende verwoord</v>
      </c>
    </row>
    <row r="8" spans="1:6" x14ac:dyDescent="0.25">
      <c r="A8" s="64" t="s">
        <v>136</v>
      </c>
      <c r="B8" s="64" t="s">
        <v>313</v>
      </c>
      <c r="C8" s="26" t="s">
        <v>485</v>
      </c>
      <c r="D8" s="26" t="s">
        <v>312</v>
      </c>
      <c r="E8" s="70">
        <v>0</v>
      </c>
    </row>
    <row r="9" spans="1:6" x14ac:dyDescent="0.25">
      <c r="A9" s="26" t="s">
        <v>232</v>
      </c>
      <c r="B9" s="64" t="s">
        <v>446</v>
      </c>
      <c r="C9" s="26" t="s">
        <v>486</v>
      </c>
      <c r="D9" s="26" t="s">
        <v>369</v>
      </c>
      <c r="E9" s="65">
        <v>1</v>
      </c>
      <c r="F9" s="26" t="str">
        <f>D9</f>
        <v>is niet voldoende om de verwachte minimale kasstroom te kunnen handhaven</v>
      </c>
    </row>
    <row r="10" spans="1:6" x14ac:dyDescent="0.25">
      <c r="A10" s="26" t="s">
        <v>232</v>
      </c>
      <c r="B10" s="64" t="s">
        <v>446</v>
      </c>
      <c r="C10" s="26" t="s">
        <v>486</v>
      </c>
      <c r="D10" s="26" t="s">
        <v>370</v>
      </c>
      <c r="E10" s="65">
        <v>2</v>
      </c>
    </row>
    <row r="11" spans="1:6" x14ac:dyDescent="0.25">
      <c r="A11" s="26" t="s">
        <v>232</v>
      </c>
      <c r="B11" s="64" t="s">
        <v>446</v>
      </c>
      <c r="C11" s="26" t="s">
        <v>486</v>
      </c>
      <c r="D11" s="26" t="s">
        <v>371</v>
      </c>
      <c r="E11" s="65">
        <v>3</v>
      </c>
    </row>
    <row r="12" spans="1:6" x14ac:dyDescent="0.25">
      <c r="A12" s="26" t="s">
        <v>232</v>
      </c>
      <c r="B12" s="64" t="s">
        <v>447</v>
      </c>
      <c r="C12" s="26" t="s">
        <v>487</v>
      </c>
      <c r="D12" s="26" t="s">
        <v>376</v>
      </c>
      <c r="E12" s="65">
        <v>1</v>
      </c>
    </row>
    <row r="13" spans="1:6" x14ac:dyDescent="0.25">
      <c r="A13" s="26" t="s">
        <v>232</v>
      </c>
      <c r="B13" s="64" t="s">
        <v>447</v>
      </c>
      <c r="C13" s="26" t="s">
        <v>487</v>
      </c>
      <c r="D13" s="26" t="s">
        <v>372</v>
      </c>
      <c r="E13" s="65">
        <v>2</v>
      </c>
      <c r="F13" s="26" t="str">
        <f>D13</f>
        <v>is grotendeels vrij te beleggen en bestaat deels uit vastgoed en/of minder makkelijk verhandelbare vermogensbestanddelen</v>
      </c>
    </row>
    <row r="14" spans="1:6" x14ac:dyDescent="0.25">
      <c r="A14" s="26" t="s">
        <v>232</v>
      </c>
      <c r="B14" s="64" t="s">
        <v>447</v>
      </c>
      <c r="C14" s="26" t="s">
        <v>487</v>
      </c>
      <c r="D14" s="26" t="s">
        <v>285</v>
      </c>
      <c r="E14" s="65">
        <v>3</v>
      </c>
    </row>
    <row r="15" spans="1:6" x14ac:dyDescent="0.25">
      <c r="A15" s="26" t="s">
        <v>232</v>
      </c>
      <c r="B15" s="64" t="s">
        <v>138</v>
      </c>
      <c r="C15" s="26" t="s">
        <v>488</v>
      </c>
      <c r="D15" s="26" t="s">
        <v>236</v>
      </c>
      <c r="E15" s="65">
        <v>3</v>
      </c>
    </row>
    <row r="16" spans="1:6" x14ac:dyDescent="0.25">
      <c r="A16" s="26" t="s">
        <v>232</v>
      </c>
      <c r="B16" s="64" t="s">
        <v>138</v>
      </c>
      <c r="C16" s="26" t="s">
        <v>488</v>
      </c>
      <c r="D16" s="26" t="s">
        <v>206</v>
      </c>
      <c r="E16" s="65">
        <v>2</v>
      </c>
      <c r="F16" s="26" t="str">
        <f>D16</f>
        <v>is ongeveer de helft</v>
      </c>
    </row>
    <row r="17" spans="1:6" x14ac:dyDescent="0.25">
      <c r="A17" s="26" t="s">
        <v>232</v>
      </c>
      <c r="B17" s="64" t="s">
        <v>138</v>
      </c>
      <c r="C17" s="26" t="s">
        <v>488</v>
      </c>
      <c r="D17" s="26" t="s">
        <v>204</v>
      </c>
      <c r="E17" s="65">
        <v>1</v>
      </c>
    </row>
    <row r="18" spans="1:6" x14ac:dyDescent="0.25">
      <c r="A18" s="26" t="s">
        <v>232</v>
      </c>
      <c r="B18" s="64" t="s">
        <v>139</v>
      </c>
      <c r="C18" s="26" t="s">
        <v>489</v>
      </c>
      <c r="D18" s="26" t="s">
        <v>490</v>
      </c>
      <c r="E18" s="65">
        <v>1</v>
      </c>
    </row>
    <row r="19" spans="1:6" x14ac:dyDescent="0.25">
      <c r="A19" s="26" t="s">
        <v>232</v>
      </c>
      <c r="B19" s="64" t="s">
        <v>139</v>
      </c>
      <c r="C19" s="26" t="s">
        <v>489</v>
      </c>
      <c r="D19" s="26" t="s">
        <v>398</v>
      </c>
      <c r="E19" s="65">
        <v>2</v>
      </c>
    </row>
    <row r="20" spans="1:6" x14ac:dyDescent="0.25">
      <c r="A20" s="26" t="s">
        <v>232</v>
      </c>
      <c r="B20" s="64" t="s">
        <v>139</v>
      </c>
      <c r="C20" s="26" t="s">
        <v>489</v>
      </c>
      <c r="D20" s="26" t="s">
        <v>491</v>
      </c>
      <c r="E20" s="65">
        <v>3</v>
      </c>
      <c r="F20" s="26" t="str">
        <f>D20</f>
        <v>is meer dan voldoende en het vermogen van de organisatie kan blijven groeien, behoudens evt. onttrekkingen voor incidentele uitgaven</v>
      </c>
    </row>
    <row r="21" spans="1:6" x14ac:dyDescent="0.25">
      <c r="A21" s="26" t="s">
        <v>232</v>
      </c>
      <c r="B21" s="64" t="s">
        <v>189</v>
      </c>
      <c r="C21" s="26" t="s">
        <v>400</v>
      </c>
      <c r="D21" s="26" t="s">
        <v>492</v>
      </c>
      <c r="E21" s="65">
        <v>1</v>
      </c>
    </row>
    <row r="22" spans="1:6" x14ac:dyDescent="0.25">
      <c r="A22" s="26" t="s">
        <v>232</v>
      </c>
      <c r="B22" s="64" t="s">
        <v>189</v>
      </c>
      <c r="C22" s="26" t="s">
        <v>400</v>
      </c>
      <c r="D22" s="26" t="s">
        <v>493</v>
      </c>
      <c r="E22" s="65">
        <v>2</v>
      </c>
      <c r="F22" s="26" t="str">
        <f>D22</f>
        <v>kan de organisatie een waardedaling van de beleggingen aan van ongeveer 25%</v>
      </c>
    </row>
    <row r="23" spans="1:6" x14ac:dyDescent="0.25">
      <c r="A23" s="26" t="s">
        <v>232</v>
      </c>
      <c r="B23" s="64" t="s">
        <v>189</v>
      </c>
      <c r="C23" s="26" t="s">
        <v>400</v>
      </c>
      <c r="D23" s="26" t="s">
        <v>494</v>
      </c>
      <c r="E23" s="65">
        <v>3</v>
      </c>
    </row>
    <row r="24" spans="1:6" x14ac:dyDescent="0.25">
      <c r="A24" s="26" t="s">
        <v>232</v>
      </c>
      <c r="B24" s="64" t="s">
        <v>217</v>
      </c>
      <c r="C24" s="26" t="s">
        <v>495</v>
      </c>
      <c r="D24" s="26" t="s">
        <v>436</v>
      </c>
      <c r="E24" s="90">
        <v>0</v>
      </c>
    </row>
    <row r="25" spans="1:6" x14ac:dyDescent="0.25">
      <c r="A25" s="26" t="s">
        <v>232</v>
      </c>
      <c r="B25" s="64" t="s">
        <v>217</v>
      </c>
      <c r="C25" s="26" t="s">
        <v>495</v>
      </c>
      <c r="D25" s="26" t="s">
        <v>435</v>
      </c>
      <c r="E25" s="90">
        <v>0</v>
      </c>
      <c r="F25" s="26" t="str">
        <f>D25</f>
        <v>is belegd in een portefeuille aandelen en obligaties</v>
      </c>
    </row>
    <row r="26" spans="1:6" x14ac:dyDescent="0.25">
      <c r="A26" s="26" t="s">
        <v>232</v>
      </c>
      <c r="B26" s="64" t="s">
        <v>217</v>
      </c>
      <c r="C26" s="26" t="s">
        <v>495</v>
      </c>
      <c r="D26" s="26" t="s">
        <v>295</v>
      </c>
      <c r="E26" s="90">
        <v>0</v>
      </c>
    </row>
    <row r="27" spans="1:6" x14ac:dyDescent="0.25">
      <c r="A27" s="75" t="s">
        <v>226</v>
      </c>
      <c r="B27" s="64" t="s">
        <v>221</v>
      </c>
      <c r="C27" s="26" t="s">
        <v>228</v>
      </c>
      <c r="D27" s="26" t="s">
        <v>297</v>
      </c>
      <c r="E27" s="76">
        <v>1</v>
      </c>
    </row>
    <row r="28" spans="1:6" x14ac:dyDescent="0.25">
      <c r="A28" s="75" t="s">
        <v>226</v>
      </c>
      <c r="B28" s="64" t="s">
        <v>221</v>
      </c>
      <c r="C28" s="26" t="s">
        <v>228</v>
      </c>
      <c r="D28" s="26" t="s">
        <v>298</v>
      </c>
      <c r="E28" s="76">
        <v>2</v>
      </c>
      <c r="F28" s="26" t="str">
        <f>D28</f>
        <v>is gemiddeld en ik volg af en toe het financiële nieuws</v>
      </c>
    </row>
    <row r="29" spans="1:6" x14ac:dyDescent="0.25">
      <c r="A29" s="75" t="s">
        <v>226</v>
      </c>
      <c r="B29" s="64" t="s">
        <v>221</v>
      </c>
      <c r="C29" s="26" t="s">
        <v>228</v>
      </c>
      <c r="D29" s="26" t="s">
        <v>296</v>
      </c>
      <c r="E29" s="76">
        <v>3</v>
      </c>
    </row>
    <row r="30" spans="1:6" x14ac:dyDescent="0.25">
      <c r="A30" s="75" t="s">
        <v>226</v>
      </c>
      <c r="B30" s="64" t="s">
        <v>231</v>
      </c>
      <c r="C30" s="26" t="s">
        <v>227</v>
      </c>
      <c r="D30" s="26" t="s">
        <v>297</v>
      </c>
      <c r="E30" s="76">
        <v>1</v>
      </c>
    </row>
    <row r="31" spans="1:6" x14ac:dyDescent="0.25">
      <c r="A31" s="75" t="s">
        <v>226</v>
      </c>
      <c r="B31" s="64" t="s">
        <v>231</v>
      </c>
      <c r="C31" s="26" t="s">
        <v>227</v>
      </c>
      <c r="D31" s="26" t="s">
        <v>223</v>
      </c>
      <c r="E31" s="76">
        <v>2</v>
      </c>
      <c r="F31" s="26" t="str">
        <f>D31</f>
        <v>is aanwezig, ik weet wat aandelen en obligaties zijn</v>
      </c>
    </row>
    <row r="32" spans="1:6" x14ac:dyDescent="0.25">
      <c r="A32" s="75" t="s">
        <v>226</v>
      </c>
      <c r="B32" s="64" t="s">
        <v>231</v>
      </c>
      <c r="C32" s="26" t="s">
        <v>227</v>
      </c>
      <c r="D32" s="26" t="s">
        <v>299</v>
      </c>
      <c r="E32" s="76">
        <v>3</v>
      </c>
    </row>
    <row r="33" spans="1:6" x14ac:dyDescent="0.25">
      <c r="A33" s="75" t="s">
        <v>226</v>
      </c>
      <c r="B33" s="64" t="s">
        <v>195</v>
      </c>
      <c r="C33" s="26" t="s">
        <v>211</v>
      </c>
      <c r="D33" s="26" t="s">
        <v>203</v>
      </c>
      <c r="E33" s="76">
        <v>1</v>
      </c>
    </row>
    <row r="34" spans="1:6" x14ac:dyDescent="0.25">
      <c r="A34" s="75" t="s">
        <v>226</v>
      </c>
      <c r="B34" s="64" t="s">
        <v>195</v>
      </c>
      <c r="C34" s="26" t="s">
        <v>211</v>
      </c>
      <c r="D34" s="26" t="s">
        <v>287</v>
      </c>
      <c r="E34" s="76">
        <v>3</v>
      </c>
    </row>
    <row r="35" spans="1:6" x14ac:dyDescent="0.25">
      <c r="A35" s="75" t="s">
        <v>226</v>
      </c>
      <c r="B35" s="64" t="s">
        <v>195</v>
      </c>
      <c r="C35" s="26" t="s">
        <v>211</v>
      </c>
      <c r="D35" s="26" t="s">
        <v>239</v>
      </c>
      <c r="E35" s="76">
        <v>2</v>
      </c>
      <c r="F35" s="26" t="str">
        <f>D35</f>
        <v>heb ik ervaring, vooral met vermogensbeheer</v>
      </c>
    </row>
    <row r="36" spans="1:6" x14ac:dyDescent="0.25">
      <c r="A36" s="75" t="s">
        <v>226</v>
      </c>
      <c r="B36" s="64" t="s">
        <v>194</v>
      </c>
      <c r="C36" s="26" t="s">
        <v>222</v>
      </c>
      <c r="D36" s="26" t="s">
        <v>288</v>
      </c>
      <c r="E36" s="76">
        <v>1</v>
      </c>
    </row>
    <row r="37" spans="1:6" x14ac:dyDescent="0.25">
      <c r="A37" s="75" t="s">
        <v>226</v>
      </c>
      <c r="B37" s="64" t="s">
        <v>194</v>
      </c>
      <c r="C37" s="26" t="s">
        <v>222</v>
      </c>
      <c r="D37" s="26" t="s">
        <v>289</v>
      </c>
      <c r="E37" s="76">
        <v>2</v>
      </c>
    </row>
    <row r="38" spans="1:6" x14ac:dyDescent="0.25">
      <c r="A38" s="75" t="s">
        <v>226</v>
      </c>
      <c r="B38" s="64" t="s">
        <v>194</v>
      </c>
      <c r="C38" s="26" t="s">
        <v>222</v>
      </c>
      <c r="D38" s="26" t="s">
        <v>290</v>
      </c>
      <c r="E38" s="76">
        <v>3</v>
      </c>
      <c r="F38" s="26" t="str">
        <f>D38</f>
        <v>is ruim aanwezig</v>
      </c>
    </row>
    <row r="39" spans="1:6" x14ac:dyDescent="0.25">
      <c r="A39" s="81" t="s">
        <v>196</v>
      </c>
      <c r="B39" s="64" t="s">
        <v>190</v>
      </c>
      <c r="C39" s="26" t="s">
        <v>496</v>
      </c>
      <c r="D39" s="26" t="s">
        <v>404</v>
      </c>
      <c r="E39" s="66">
        <v>1</v>
      </c>
    </row>
    <row r="40" spans="1:6" x14ac:dyDescent="0.25">
      <c r="A40" s="81" t="s">
        <v>196</v>
      </c>
      <c r="B40" s="64" t="s">
        <v>190</v>
      </c>
      <c r="C40" s="26" t="s">
        <v>496</v>
      </c>
      <c r="D40" s="26" t="s">
        <v>497</v>
      </c>
      <c r="E40" s="66">
        <v>2</v>
      </c>
      <c r="F40" s="26" t="str">
        <f>D40</f>
        <v>is de organisatie bereid, op enig moment, ongeveer 25% waardedaling te accepteren</v>
      </c>
    </row>
    <row r="41" spans="1:6" x14ac:dyDescent="0.25">
      <c r="A41" s="81" t="s">
        <v>196</v>
      </c>
      <c r="B41" s="64" t="s">
        <v>190</v>
      </c>
      <c r="C41" s="26" t="s">
        <v>496</v>
      </c>
      <c r="D41" s="26" t="s">
        <v>498</v>
      </c>
      <c r="E41" s="66">
        <v>3</v>
      </c>
    </row>
    <row r="42" spans="1:6" x14ac:dyDescent="0.25">
      <c r="A42" s="81" t="s">
        <v>196</v>
      </c>
      <c r="B42" s="64" t="s">
        <v>141</v>
      </c>
      <c r="C42" s="26" t="s">
        <v>499</v>
      </c>
      <c r="D42" s="26" t="s">
        <v>348</v>
      </c>
      <c r="E42" s="66">
        <v>1</v>
      </c>
      <c r="F42" s="26" t="str">
        <f>D42</f>
        <v>Wij checken het geregeld en zitten er bovenop</v>
      </c>
    </row>
    <row r="43" spans="1:6" x14ac:dyDescent="0.25">
      <c r="A43" s="81" t="s">
        <v>196</v>
      </c>
      <c r="B43" s="64" t="s">
        <v>141</v>
      </c>
      <c r="C43" s="26" t="s">
        <v>499</v>
      </c>
      <c r="D43" s="26" t="s">
        <v>349</v>
      </c>
      <c r="E43" s="66">
        <v>2</v>
      </c>
    </row>
    <row r="44" spans="1:6" x14ac:dyDescent="0.25">
      <c r="A44" s="81" t="s">
        <v>196</v>
      </c>
      <c r="B44" s="64" t="s">
        <v>141</v>
      </c>
      <c r="C44" s="26" t="s">
        <v>499</v>
      </c>
      <c r="D44" s="26" t="s">
        <v>350</v>
      </c>
      <c r="E44" s="66">
        <v>3</v>
      </c>
    </row>
    <row r="45" spans="1:6" x14ac:dyDescent="0.25">
      <c r="A45" s="81" t="s">
        <v>196</v>
      </c>
      <c r="B45" s="64" t="s">
        <v>218</v>
      </c>
      <c r="C45" s="26" t="s">
        <v>465</v>
      </c>
      <c r="D45" s="26" t="s">
        <v>500</v>
      </c>
      <c r="E45" s="66">
        <v>1</v>
      </c>
    </row>
    <row r="46" spans="1:6" x14ac:dyDescent="0.25">
      <c r="A46" s="81" t="s">
        <v>196</v>
      </c>
      <c r="B46" s="64" t="s">
        <v>218</v>
      </c>
      <c r="C46" s="26" t="s">
        <v>465</v>
      </c>
      <c r="D46" s="26" t="s">
        <v>501</v>
      </c>
      <c r="E46" s="66">
        <v>2</v>
      </c>
      <c r="F46" s="26" t="str">
        <f>D46</f>
        <v>de beleggingen van de organisatie kunnen wel  tien jaar aangehouden worden en er zijn geen tussentijdse plannen mee</v>
      </c>
    </row>
    <row r="47" spans="1:6" x14ac:dyDescent="0.25">
      <c r="A47" s="81" t="s">
        <v>196</v>
      </c>
      <c r="B47" s="64" t="s">
        <v>218</v>
      </c>
      <c r="C47" s="26" t="s">
        <v>465</v>
      </c>
      <c r="D47" s="26" t="s">
        <v>502</v>
      </c>
      <c r="E47" s="66">
        <v>3</v>
      </c>
    </row>
    <row r="48" spans="1:6" x14ac:dyDescent="0.25">
      <c r="A48" s="81" t="s">
        <v>196</v>
      </c>
      <c r="B48" s="26" t="s">
        <v>219</v>
      </c>
      <c r="C48" s="26" t="s">
        <v>503</v>
      </c>
      <c r="D48" s="26" t="s">
        <v>362</v>
      </c>
      <c r="E48" s="66">
        <v>1</v>
      </c>
    </row>
    <row r="49" spans="1:6" x14ac:dyDescent="0.25">
      <c r="A49" s="81" t="s">
        <v>196</v>
      </c>
      <c r="B49" s="26" t="s">
        <v>219</v>
      </c>
      <c r="C49" s="26" t="s">
        <v>503</v>
      </c>
      <c r="D49" s="26" t="s">
        <v>360</v>
      </c>
      <c r="E49" s="66">
        <v>2</v>
      </c>
    </row>
    <row r="50" spans="1:6" x14ac:dyDescent="0.25">
      <c r="A50" s="81" t="s">
        <v>196</v>
      </c>
      <c r="B50" s="26" t="s">
        <v>219</v>
      </c>
      <c r="C50" s="26" t="s">
        <v>503</v>
      </c>
      <c r="D50" s="26" t="s">
        <v>361</v>
      </c>
      <c r="E50" s="66">
        <v>3</v>
      </c>
      <c r="F50" s="26" t="str">
        <f>D50</f>
        <v>Dat kan gebeuren, want beleggen gaat nu eenmaal gepaard met risico's</v>
      </c>
    </row>
    <row r="51" spans="1:6" x14ac:dyDescent="0.25">
      <c r="A51" s="81" t="s">
        <v>300</v>
      </c>
      <c r="B51" s="64" t="s">
        <v>301</v>
      </c>
      <c r="C51" s="26" t="s">
        <v>303</v>
      </c>
      <c r="D51" s="26" t="s">
        <v>304</v>
      </c>
      <c r="E51" s="63">
        <v>0</v>
      </c>
      <c r="F51" s="26" t="s">
        <v>304</v>
      </c>
    </row>
    <row r="52" spans="1:6" x14ac:dyDescent="0.25">
      <c r="A52" s="81" t="s">
        <v>300</v>
      </c>
      <c r="B52" s="64" t="s">
        <v>301</v>
      </c>
      <c r="C52" s="26" t="s">
        <v>303</v>
      </c>
      <c r="D52" s="26" t="s">
        <v>305</v>
      </c>
      <c r="E52" s="63">
        <v>0</v>
      </c>
    </row>
    <row r="53" spans="1:6" x14ac:dyDescent="0.25">
      <c r="A53" s="81" t="s">
        <v>300</v>
      </c>
      <c r="B53" s="64" t="s">
        <v>302</v>
      </c>
      <c r="C53" s="26" t="s">
        <v>306</v>
      </c>
      <c r="D53" s="26" t="s">
        <v>307</v>
      </c>
      <c r="E53" s="63">
        <v>0</v>
      </c>
      <c r="F53" s="26" t="s">
        <v>307</v>
      </c>
    </row>
    <row r="54" spans="1:6" x14ac:dyDescent="0.25">
      <c r="A54" s="81" t="s">
        <v>300</v>
      </c>
      <c r="B54" s="64" t="s">
        <v>302</v>
      </c>
      <c r="C54" s="26" t="s">
        <v>306</v>
      </c>
      <c r="D54" s="26" t="s">
        <v>308</v>
      </c>
      <c r="E54" s="63">
        <v>0</v>
      </c>
    </row>
    <row r="55" spans="1:6" x14ac:dyDescent="0.25">
      <c r="A55" s="81" t="s">
        <v>300</v>
      </c>
      <c r="B55" s="64" t="s">
        <v>302</v>
      </c>
      <c r="C55" s="26" t="s">
        <v>306</v>
      </c>
      <c r="D55" s="26" t="s">
        <v>309</v>
      </c>
      <c r="E55" s="63">
        <v>0</v>
      </c>
    </row>
    <row r="56" spans="1:6" x14ac:dyDescent="0.25">
      <c r="A56" s="26" t="s">
        <v>191</v>
      </c>
      <c r="B56" s="64" t="s">
        <v>192</v>
      </c>
      <c r="C56" s="26" t="s">
        <v>504</v>
      </c>
      <c r="D56" s="26" t="s">
        <v>364</v>
      </c>
      <c r="E56" s="77">
        <v>0</v>
      </c>
    </row>
    <row r="57" spans="1:6" x14ac:dyDescent="0.25">
      <c r="A57" s="26" t="s">
        <v>191</v>
      </c>
      <c r="B57" s="64" t="s">
        <v>192</v>
      </c>
      <c r="C57" s="26" t="s">
        <v>504</v>
      </c>
      <c r="D57" s="26" t="s">
        <v>214</v>
      </c>
      <c r="E57" s="77">
        <v>0</v>
      </c>
      <c r="F57" s="26" t="str">
        <f>D57</f>
        <v>spelen duurzaamheidsaspecten geen bijzondere rol</v>
      </c>
    </row>
    <row r="58" spans="1:6" x14ac:dyDescent="0.25">
      <c r="A58" s="26" t="s">
        <v>191</v>
      </c>
      <c r="B58" s="64" t="s">
        <v>192</v>
      </c>
      <c r="C58" s="26" t="s">
        <v>504</v>
      </c>
      <c r="D58" s="26" t="s">
        <v>215</v>
      </c>
      <c r="E58" s="77">
        <v>0</v>
      </c>
    </row>
    <row r="59" spans="1:6" x14ac:dyDescent="0.25">
      <c r="A59" s="26" t="s">
        <v>191</v>
      </c>
      <c r="B59" s="64" t="s">
        <v>193</v>
      </c>
      <c r="C59" s="26" t="s">
        <v>390</v>
      </c>
      <c r="D59" s="26" t="s">
        <v>365</v>
      </c>
      <c r="E59" s="77">
        <v>0</v>
      </c>
      <c r="F59" s="26" t="str">
        <f>D59</f>
        <v>bestaan geen duurzaamheidsvoorkeuren</v>
      </c>
    </row>
    <row r="60" spans="1:6" x14ac:dyDescent="0.25">
      <c r="A60" s="26" t="s">
        <v>191</v>
      </c>
      <c r="B60" s="64" t="s">
        <v>193</v>
      </c>
      <c r="C60" s="26" t="s">
        <v>390</v>
      </c>
      <c r="D60" s="87" t="s">
        <v>357</v>
      </c>
      <c r="E60" s="77">
        <v>0</v>
      </c>
    </row>
    <row r="61" spans="1:6" x14ac:dyDescent="0.25">
      <c r="A61" s="26" t="s">
        <v>191</v>
      </c>
      <c r="B61" s="64" t="s">
        <v>279</v>
      </c>
      <c r="C61" s="26" t="s">
        <v>505</v>
      </c>
      <c r="D61" s="26" t="s">
        <v>366</v>
      </c>
      <c r="E61" s="77">
        <v>0</v>
      </c>
      <c r="F61" s="26" t="str">
        <f>D61</f>
        <v>moet dit meer zijn dan een kwart</v>
      </c>
    </row>
    <row r="62" spans="1:6" x14ac:dyDescent="0.25">
      <c r="A62" s="26" t="s">
        <v>191</v>
      </c>
      <c r="B62" s="64" t="s">
        <v>279</v>
      </c>
      <c r="C62" s="26" t="s">
        <v>505</v>
      </c>
      <c r="D62" s="26" t="s">
        <v>367</v>
      </c>
      <c r="E62" s="77">
        <v>0</v>
      </c>
    </row>
    <row r="63" spans="1:6" x14ac:dyDescent="0.25">
      <c r="A63" s="26" t="s">
        <v>191</v>
      </c>
      <c r="B63" s="26" t="s">
        <v>280</v>
      </c>
      <c r="C63" s="26" t="s">
        <v>464</v>
      </c>
      <c r="D63" s="26" t="s">
        <v>368</v>
      </c>
      <c r="E63" s="77">
        <v>0</v>
      </c>
      <c r="F63" s="26" t="str">
        <f>D63</f>
        <v>zijn  geen vereiste voor de invulling van de portefeuille</v>
      </c>
    </row>
    <row r="64" spans="1:6" x14ac:dyDescent="0.25">
      <c r="A64" s="26" t="s">
        <v>191</v>
      </c>
      <c r="B64" s="26" t="s">
        <v>280</v>
      </c>
      <c r="C64" s="26" t="s">
        <v>464</v>
      </c>
      <c r="D64" s="26" t="s">
        <v>391</v>
      </c>
      <c r="E64" s="77">
        <v>0</v>
      </c>
    </row>
    <row r="65" spans="1:6" x14ac:dyDescent="0.25">
      <c r="A65" s="64" t="s">
        <v>472</v>
      </c>
      <c r="B65" s="64" t="s">
        <v>472</v>
      </c>
      <c r="C65" s="26" t="s">
        <v>473</v>
      </c>
      <c r="D65" s="26" t="s">
        <v>474</v>
      </c>
      <c r="E65" s="70">
        <v>0</v>
      </c>
      <c r="F65" s="26" t="str">
        <f>D65</f>
        <v>nee, dat is niet nodig</v>
      </c>
    </row>
    <row r="66" spans="1:6" x14ac:dyDescent="0.25">
      <c r="A66" s="64" t="s">
        <v>472</v>
      </c>
      <c r="B66" s="64" t="s">
        <v>472</v>
      </c>
      <c r="C66" s="26" t="s">
        <v>473</v>
      </c>
      <c r="D66" s="26" t="s">
        <v>312</v>
      </c>
      <c r="E66" s="70">
        <v>0</v>
      </c>
    </row>
    <row r="67" spans="1:6" x14ac:dyDescent="0.25">
      <c r="A67" s="64"/>
      <c r="B67" s="64"/>
      <c r="E67" s="7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A167-5225-304A-9B21-182E6E640BD7}">
  <dimension ref="A1:Z17"/>
  <sheetViews>
    <sheetView workbookViewId="0">
      <selection activeCell="L1" sqref="L1"/>
    </sheetView>
  </sheetViews>
  <sheetFormatPr baseColWidth="10" defaultRowHeight="17" x14ac:dyDescent="0.25"/>
  <cols>
    <col min="8" max="8" width="10.83203125" style="83"/>
    <col min="9" max="9" width="14" style="85" bestFit="1" customWidth="1"/>
    <col min="10" max="12" width="10.83203125" style="62"/>
  </cols>
  <sheetData>
    <row r="1" spans="1:26" x14ac:dyDescent="0.25">
      <c r="A1" s="70" t="s">
        <v>136</v>
      </c>
      <c r="B1" s="68" t="s">
        <v>232</v>
      </c>
      <c r="C1" s="73" t="s">
        <v>226</v>
      </c>
      <c r="D1" s="67" t="s">
        <v>196</v>
      </c>
      <c r="E1" s="71" t="s">
        <v>224</v>
      </c>
      <c r="F1" t="s">
        <v>177</v>
      </c>
    </row>
    <row r="2" spans="1:26" x14ac:dyDescent="0.25">
      <c r="A2">
        <v>1</v>
      </c>
      <c r="B2">
        <v>6</v>
      </c>
      <c r="C2">
        <v>4</v>
      </c>
      <c r="D2">
        <v>5</v>
      </c>
      <c r="E2">
        <v>1</v>
      </c>
      <c r="F2" t="s">
        <v>175</v>
      </c>
    </row>
    <row r="3" spans="1:26" x14ac:dyDescent="0.25">
      <c r="A3" s="69">
        <v>1</v>
      </c>
      <c r="B3" s="69">
        <f>B2+1</f>
        <v>7</v>
      </c>
      <c r="C3" s="74">
        <f>C2+(12-4)/12</f>
        <v>4.666666666666667</v>
      </c>
      <c r="D3" s="74">
        <f>D2+(15-5)/12</f>
        <v>5.833333333333333</v>
      </c>
      <c r="E3" s="69">
        <v>1</v>
      </c>
      <c r="F3" s="69" t="s">
        <v>175</v>
      </c>
      <c r="I3" s="85" t="s">
        <v>136</v>
      </c>
      <c r="M3" s="83"/>
      <c r="N3" s="85" t="s">
        <v>232</v>
      </c>
      <c r="O3" s="62"/>
      <c r="P3" s="62"/>
      <c r="R3" s="83"/>
      <c r="S3" s="85" t="s">
        <v>196</v>
      </c>
      <c r="T3" s="62"/>
      <c r="U3" s="62"/>
      <c r="W3" s="83"/>
      <c r="X3" s="85" t="s">
        <v>226</v>
      </c>
      <c r="Y3" s="62"/>
      <c r="Z3" s="62"/>
    </row>
    <row r="4" spans="1:26" x14ac:dyDescent="0.25">
      <c r="A4">
        <v>2</v>
      </c>
      <c r="B4">
        <f t="shared" ref="B4:B14" si="0">B3+1</f>
        <v>8</v>
      </c>
      <c r="C4" s="72">
        <f t="shared" ref="C4:C13" si="1">C3+(12-4)/12</f>
        <v>5.3333333333333339</v>
      </c>
      <c r="D4" s="72">
        <f t="shared" ref="D4:D13" si="2">D3+(15-5)/12</f>
        <v>6.6666666666666661</v>
      </c>
      <c r="E4">
        <v>2</v>
      </c>
      <c r="F4" t="s">
        <v>197</v>
      </c>
      <c r="H4" s="84" t="s">
        <v>125</v>
      </c>
      <c r="I4" s="86" t="s">
        <v>315</v>
      </c>
      <c r="J4" s="82" t="s">
        <v>314</v>
      </c>
      <c r="K4" s="82" t="s">
        <v>319</v>
      </c>
      <c r="M4" s="84" t="s">
        <v>125</v>
      </c>
      <c r="N4" s="86" t="s">
        <v>315</v>
      </c>
      <c r="O4" s="82" t="s">
        <v>314</v>
      </c>
      <c r="P4" s="82" t="s">
        <v>319</v>
      </c>
      <c r="R4" s="84" t="s">
        <v>125</v>
      </c>
      <c r="S4" s="86" t="s">
        <v>315</v>
      </c>
      <c r="T4" s="82" t="s">
        <v>314</v>
      </c>
      <c r="U4" s="82" t="s">
        <v>319</v>
      </c>
      <c r="W4" s="84" t="s">
        <v>125</v>
      </c>
      <c r="X4" s="86" t="s">
        <v>315</v>
      </c>
      <c r="Y4" s="82" t="s">
        <v>314</v>
      </c>
      <c r="Z4" s="82" t="s">
        <v>319</v>
      </c>
    </row>
    <row r="5" spans="1:26" x14ac:dyDescent="0.25">
      <c r="A5">
        <v>2</v>
      </c>
      <c r="B5">
        <f t="shared" si="0"/>
        <v>9</v>
      </c>
      <c r="C5" s="72">
        <f t="shared" si="1"/>
        <v>6.0000000000000009</v>
      </c>
      <c r="D5" s="72">
        <f t="shared" si="2"/>
        <v>7.4999999999999991</v>
      </c>
      <c r="E5">
        <v>2</v>
      </c>
      <c r="F5" t="s">
        <v>197</v>
      </c>
      <c r="H5" s="83">
        <v>1</v>
      </c>
      <c r="I5" s="85" t="s">
        <v>175</v>
      </c>
      <c r="J5" s="62" t="s">
        <v>175</v>
      </c>
      <c r="K5" s="62" t="s">
        <v>316</v>
      </c>
      <c r="M5" s="83">
        <v>6</v>
      </c>
      <c r="N5" s="85" t="s">
        <v>175</v>
      </c>
      <c r="O5" s="62" t="s">
        <v>175</v>
      </c>
      <c r="P5" s="62" t="s">
        <v>316</v>
      </c>
      <c r="R5" s="83">
        <v>5</v>
      </c>
      <c r="S5" s="85" t="s">
        <v>175</v>
      </c>
      <c r="T5" s="62" t="s">
        <v>175</v>
      </c>
      <c r="U5" s="62" t="s">
        <v>316</v>
      </c>
      <c r="W5" s="83">
        <v>4</v>
      </c>
      <c r="X5" s="85" t="s">
        <v>175</v>
      </c>
      <c r="Y5" s="62" t="s">
        <v>175</v>
      </c>
      <c r="Z5" s="62" t="s">
        <v>316</v>
      </c>
    </row>
    <row r="6" spans="1:26" x14ac:dyDescent="0.25">
      <c r="A6" s="69">
        <v>2</v>
      </c>
      <c r="B6" s="69">
        <f t="shared" si="0"/>
        <v>10</v>
      </c>
      <c r="C6" s="74">
        <f t="shared" si="1"/>
        <v>6.6666666666666679</v>
      </c>
      <c r="D6" s="74">
        <f t="shared" si="2"/>
        <v>8.3333333333333321</v>
      </c>
      <c r="E6" s="69">
        <v>2</v>
      </c>
      <c r="F6" s="69" t="s">
        <v>197</v>
      </c>
      <c r="H6" s="83">
        <v>2</v>
      </c>
      <c r="I6" s="85" t="s">
        <v>197</v>
      </c>
      <c r="J6" s="62" t="s">
        <v>197</v>
      </c>
      <c r="K6" s="62" t="s">
        <v>316</v>
      </c>
      <c r="M6" s="83">
        <v>7</v>
      </c>
      <c r="N6" s="85" t="s">
        <v>175</v>
      </c>
      <c r="O6" s="62" t="s">
        <v>175</v>
      </c>
      <c r="P6" s="62" t="s">
        <v>316</v>
      </c>
      <c r="R6" s="83">
        <v>6</v>
      </c>
      <c r="S6" s="85" t="s">
        <v>175</v>
      </c>
      <c r="T6" s="62" t="s">
        <v>197</v>
      </c>
      <c r="U6" s="62" t="s">
        <v>317</v>
      </c>
      <c r="W6" s="83">
        <v>5</v>
      </c>
      <c r="X6" s="85" t="s">
        <v>175</v>
      </c>
      <c r="Y6" s="62" t="s">
        <v>197</v>
      </c>
      <c r="Z6" s="62" t="s">
        <v>317</v>
      </c>
    </row>
    <row r="7" spans="1:26" x14ac:dyDescent="0.25">
      <c r="A7">
        <v>3</v>
      </c>
      <c r="B7">
        <f t="shared" si="0"/>
        <v>11</v>
      </c>
      <c r="C7" s="72">
        <f t="shared" si="1"/>
        <v>7.3333333333333348</v>
      </c>
      <c r="D7" s="72">
        <f t="shared" si="2"/>
        <v>9.1666666666666661</v>
      </c>
      <c r="E7">
        <v>3</v>
      </c>
      <c r="F7" t="s">
        <v>185</v>
      </c>
      <c r="H7" s="83">
        <v>3</v>
      </c>
      <c r="I7" s="85" t="s">
        <v>185</v>
      </c>
      <c r="J7" s="62" t="s">
        <v>185</v>
      </c>
      <c r="K7" s="62" t="s">
        <v>316</v>
      </c>
      <c r="M7" s="83">
        <v>8</v>
      </c>
      <c r="N7" s="85" t="s">
        <v>175</v>
      </c>
      <c r="O7" s="62" t="s">
        <v>197</v>
      </c>
      <c r="P7" s="62" t="s">
        <v>317</v>
      </c>
      <c r="R7" s="83">
        <v>7</v>
      </c>
      <c r="S7" s="85" t="s">
        <v>197</v>
      </c>
      <c r="T7" s="62" t="s">
        <v>197</v>
      </c>
      <c r="U7" s="62" t="s">
        <v>316</v>
      </c>
      <c r="W7" s="83">
        <v>6</v>
      </c>
      <c r="X7" s="85" t="s">
        <v>197</v>
      </c>
      <c r="Y7" s="62" t="s">
        <v>197</v>
      </c>
      <c r="Z7" s="62" t="s">
        <v>316</v>
      </c>
    </row>
    <row r="8" spans="1:26" x14ac:dyDescent="0.25">
      <c r="A8">
        <v>3</v>
      </c>
      <c r="B8">
        <f t="shared" si="0"/>
        <v>12</v>
      </c>
      <c r="C8" s="72">
        <f t="shared" si="1"/>
        <v>8.0000000000000018</v>
      </c>
      <c r="D8" s="72">
        <f t="shared" si="2"/>
        <v>10</v>
      </c>
      <c r="E8">
        <v>3</v>
      </c>
      <c r="F8" t="s">
        <v>185</v>
      </c>
      <c r="H8" s="83">
        <v>4</v>
      </c>
      <c r="I8" s="85" t="s">
        <v>198</v>
      </c>
      <c r="J8" s="62" t="s">
        <v>198</v>
      </c>
      <c r="K8" s="62" t="s">
        <v>316</v>
      </c>
      <c r="M8" s="83">
        <v>9</v>
      </c>
      <c r="N8" s="85" t="s">
        <v>197</v>
      </c>
      <c r="O8" s="62" t="s">
        <v>197</v>
      </c>
      <c r="P8" s="62" t="s">
        <v>316</v>
      </c>
      <c r="R8" s="83">
        <v>8</v>
      </c>
      <c r="S8" s="85" t="s">
        <v>197</v>
      </c>
      <c r="T8" s="62" t="s">
        <v>197</v>
      </c>
      <c r="U8" s="62" t="s">
        <v>316</v>
      </c>
      <c r="W8" s="83">
        <v>7</v>
      </c>
      <c r="X8" s="85" t="s">
        <v>197</v>
      </c>
      <c r="Y8" s="62" t="s">
        <v>185</v>
      </c>
      <c r="Z8" s="62" t="s">
        <v>317</v>
      </c>
    </row>
    <row r="9" spans="1:26" x14ac:dyDescent="0.25">
      <c r="A9" s="69">
        <v>3</v>
      </c>
      <c r="B9" s="69">
        <f t="shared" si="0"/>
        <v>13</v>
      </c>
      <c r="C9" s="74">
        <f t="shared" si="1"/>
        <v>8.6666666666666679</v>
      </c>
      <c r="D9" s="74">
        <f t="shared" si="2"/>
        <v>10.833333333333334</v>
      </c>
      <c r="E9" s="69">
        <v>3</v>
      </c>
      <c r="F9" s="69" t="s">
        <v>185</v>
      </c>
      <c r="H9" s="83">
        <v>5</v>
      </c>
      <c r="I9" s="85" t="s">
        <v>176</v>
      </c>
      <c r="J9" s="62" t="s">
        <v>176</v>
      </c>
      <c r="K9" s="62" t="s">
        <v>316</v>
      </c>
      <c r="M9" s="83">
        <v>10</v>
      </c>
      <c r="N9" s="85" t="s">
        <v>197</v>
      </c>
      <c r="O9" s="62" t="s">
        <v>197</v>
      </c>
      <c r="P9" s="62" t="s">
        <v>316</v>
      </c>
      <c r="R9" s="83">
        <v>9</v>
      </c>
      <c r="S9" s="85" t="s">
        <v>185</v>
      </c>
      <c r="T9" s="62" t="s">
        <v>185</v>
      </c>
      <c r="U9" s="62" t="s">
        <v>316</v>
      </c>
      <c r="W9" s="83">
        <v>8</v>
      </c>
      <c r="X9" s="85" t="s">
        <v>185</v>
      </c>
      <c r="Y9" s="62" t="s">
        <v>185</v>
      </c>
      <c r="Z9" s="62" t="s">
        <v>316</v>
      </c>
    </row>
    <row r="10" spans="1:26" x14ac:dyDescent="0.25">
      <c r="A10">
        <v>4</v>
      </c>
      <c r="B10">
        <f t="shared" si="0"/>
        <v>14</v>
      </c>
      <c r="C10" s="72">
        <f t="shared" si="1"/>
        <v>9.3333333333333339</v>
      </c>
      <c r="D10" s="72">
        <f t="shared" si="2"/>
        <v>11.666666666666668</v>
      </c>
      <c r="E10">
        <v>4</v>
      </c>
      <c r="F10" t="s">
        <v>198</v>
      </c>
      <c r="M10" s="83">
        <v>11</v>
      </c>
      <c r="N10" s="85" t="s">
        <v>185</v>
      </c>
      <c r="O10" s="62" t="s">
        <v>185</v>
      </c>
      <c r="P10" s="62" t="s">
        <v>316</v>
      </c>
      <c r="R10" s="83">
        <v>10</v>
      </c>
      <c r="S10" s="85" t="s">
        <v>185</v>
      </c>
      <c r="T10" s="62" t="s">
        <v>185</v>
      </c>
      <c r="U10" s="62" t="s">
        <v>316</v>
      </c>
      <c r="W10" s="83">
        <v>9</v>
      </c>
      <c r="X10" s="85" t="s">
        <v>198</v>
      </c>
      <c r="Y10" s="62" t="s">
        <v>198</v>
      </c>
      <c r="Z10" s="62" t="s">
        <v>316</v>
      </c>
    </row>
    <row r="11" spans="1:26" x14ac:dyDescent="0.25">
      <c r="A11">
        <v>4</v>
      </c>
      <c r="B11">
        <f t="shared" si="0"/>
        <v>15</v>
      </c>
      <c r="C11" s="72">
        <f t="shared" si="1"/>
        <v>10</v>
      </c>
      <c r="D11" s="72">
        <f t="shared" si="2"/>
        <v>12.500000000000002</v>
      </c>
      <c r="E11">
        <v>4</v>
      </c>
      <c r="F11" t="s">
        <v>198</v>
      </c>
      <c r="M11" s="83">
        <v>12</v>
      </c>
      <c r="N11" s="85" t="s">
        <v>185</v>
      </c>
      <c r="O11" s="62" t="s">
        <v>185</v>
      </c>
      <c r="P11" s="62" t="s">
        <v>316</v>
      </c>
      <c r="R11" s="83">
        <v>11</v>
      </c>
      <c r="S11" s="85" t="s">
        <v>198</v>
      </c>
      <c r="T11" s="62" t="s">
        <v>198</v>
      </c>
      <c r="U11" s="62" t="s">
        <v>316</v>
      </c>
      <c r="W11" s="83">
        <v>10</v>
      </c>
      <c r="X11" s="85" t="s">
        <v>198</v>
      </c>
      <c r="Y11" s="62" t="s">
        <v>198</v>
      </c>
      <c r="Z11" s="62" t="s">
        <v>316</v>
      </c>
    </row>
    <row r="12" spans="1:26" x14ac:dyDescent="0.25">
      <c r="A12" s="69">
        <v>4</v>
      </c>
      <c r="B12" s="69">
        <f t="shared" si="0"/>
        <v>16</v>
      </c>
      <c r="C12" s="74">
        <f t="shared" si="1"/>
        <v>10.666666666666666</v>
      </c>
      <c r="D12" s="74">
        <f t="shared" si="2"/>
        <v>13.333333333333336</v>
      </c>
      <c r="E12" s="69">
        <v>4</v>
      </c>
      <c r="F12" s="69" t="s">
        <v>198</v>
      </c>
      <c r="M12" s="83">
        <v>13</v>
      </c>
      <c r="N12" s="85" t="s">
        <v>185</v>
      </c>
      <c r="O12" s="62" t="s">
        <v>185</v>
      </c>
      <c r="P12" s="62" t="s">
        <v>316</v>
      </c>
      <c r="R12" s="83">
        <v>12</v>
      </c>
      <c r="S12" s="85" t="s">
        <v>198</v>
      </c>
      <c r="T12" s="62" t="s">
        <v>198</v>
      </c>
      <c r="U12" s="62" t="s">
        <v>316</v>
      </c>
      <c r="W12" s="83">
        <v>11</v>
      </c>
      <c r="X12" s="85" t="s">
        <v>176</v>
      </c>
      <c r="Y12" s="62" t="s">
        <v>176</v>
      </c>
      <c r="Z12" s="62" t="s">
        <v>316</v>
      </c>
    </row>
    <row r="13" spans="1:26" x14ac:dyDescent="0.25">
      <c r="A13">
        <v>5</v>
      </c>
      <c r="B13">
        <f t="shared" si="0"/>
        <v>17</v>
      </c>
      <c r="C13" s="72">
        <f t="shared" si="1"/>
        <v>11.333333333333332</v>
      </c>
      <c r="D13" s="72">
        <f t="shared" si="2"/>
        <v>14.16666666666667</v>
      </c>
      <c r="E13">
        <v>5</v>
      </c>
      <c r="F13" t="s">
        <v>176</v>
      </c>
      <c r="M13" s="83">
        <v>14</v>
      </c>
      <c r="N13" s="85" t="s">
        <v>198</v>
      </c>
      <c r="O13" s="62" t="s">
        <v>198</v>
      </c>
      <c r="P13" s="62" t="s">
        <v>316</v>
      </c>
      <c r="R13" s="83">
        <v>13</v>
      </c>
      <c r="S13" s="85" t="s">
        <v>176</v>
      </c>
      <c r="T13" s="62" t="s">
        <v>198</v>
      </c>
      <c r="U13" s="62" t="s">
        <v>318</v>
      </c>
      <c r="W13" s="83">
        <v>12</v>
      </c>
      <c r="X13" s="85" t="s">
        <v>176</v>
      </c>
      <c r="Y13" s="62" t="s">
        <v>176</v>
      </c>
      <c r="Z13" s="62" t="s">
        <v>316</v>
      </c>
    </row>
    <row r="14" spans="1:26" x14ac:dyDescent="0.25">
      <c r="A14">
        <v>5</v>
      </c>
      <c r="B14">
        <f t="shared" si="0"/>
        <v>18</v>
      </c>
      <c r="C14">
        <v>12</v>
      </c>
      <c r="D14">
        <v>15</v>
      </c>
      <c r="E14">
        <v>5</v>
      </c>
      <c r="F14" t="s">
        <v>176</v>
      </c>
      <c r="M14" s="83">
        <v>15</v>
      </c>
      <c r="N14" s="85" t="s">
        <v>198</v>
      </c>
      <c r="O14" s="62" t="s">
        <v>198</v>
      </c>
      <c r="P14" s="62" t="s">
        <v>316</v>
      </c>
      <c r="R14" s="83">
        <v>14</v>
      </c>
      <c r="S14" s="85" t="s">
        <v>176</v>
      </c>
      <c r="T14" s="62" t="s">
        <v>176</v>
      </c>
      <c r="U14" s="62" t="s">
        <v>316</v>
      </c>
      <c r="W14" s="83"/>
      <c r="X14" s="85"/>
      <c r="Y14" s="62"/>
      <c r="Z14" s="62"/>
    </row>
    <row r="15" spans="1:26" x14ac:dyDescent="0.25">
      <c r="A15" s="94" t="s">
        <v>321</v>
      </c>
      <c r="B15" s="94"/>
      <c r="C15" s="94"/>
      <c r="D15" s="94"/>
      <c r="E15" s="94"/>
      <c r="F15" s="94"/>
      <c r="M15" s="83">
        <v>16</v>
      </c>
      <c r="N15" s="85" t="s">
        <v>176</v>
      </c>
      <c r="O15" s="62" t="s">
        <v>198</v>
      </c>
      <c r="P15" s="62" t="s">
        <v>318</v>
      </c>
      <c r="R15" s="83">
        <v>15</v>
      </c>
      <c r="S15" s="85" t="s">
        <v>176</v>
      </c>
      <c r="T15" s="62" t="s">
        <v>176</v>
      </c>
      <c r="U15" s="62" t="s">
        <v>316</v>
      </c>
    </row>
    <row r="16" spans="1:26" x14ac:dyDescent="0.25">
      <c r="M16" s="83">
        <v>17</v>
      </c>
      <c r="N16" s="85" t="s">
        <v>176</v>
      </c>
      <c r="O16" s="62" t="s">
        <v>176</v>
      </c>
      <c r="P16" s="62" t="s">
        <v>316</v>
      </c>
    </row>
    <row r="17" spans="13:16" x14ac:dyDescent="0.25">
      <c r="M17" s="83">
        <v>18</v>
      </c>
      <c r="N17" s="85" t="s">
        <v>176</v>
      </c>
      <c r="O17" s="62" t="s">
        <v>176</v>
      </c>
      <c r="P17" s="62" t="s">
        <v>316</v>
      </c>
    </row>
  </sheetData>
  <mergeCells count="1"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402E-F033-614C-84B0-3411183972DC}">
  <dimension ref="E3:F44"/>
  <sheetViews>
    <sheetView workbookViewId="0">
      <selection activeCell="O23" sqref="O23"/>
    </sheetView>
  </sheetViews>
  <sheetFormatPr baseColWidth="10" defaultRowHeight="17" x14ac:dyDescent="0.25"/>
  <sheetData>
    <row r="3" spans="5:6" x14ac:dyDescent="0.25">
      <c r="F3" t="s">
        <v>252</v>
      </c>
    </row>
    <row r="5" spans="5:6" ht="21" x14ac:dyDescent="0.25">
      <c r="E5" s="79" t="s">
        <v>250</v>
      </c>
      <c r="F5" s="78" t="s">
        <v>251</v>
      </c>
    </row>
    <row r="6" spans="5:6" ht="21" x14ac:dyDescent="0.25">
      <c r="E6">
        <v>1</v>
      </c>
      <c r="F6" s="80" t="s">
        <v>240</v>
      </c>
    </row>
    <row r="7" spans="5:6" ht="21" x14ac:dyDescent="0.25">
      <c r="E7">
        <v>2</v>
      </c>
      <c r="F7" s="80" t="s">
        <v>241</v>
      </c>
    </row>
    <row r="8" spans="5:6" ht="21" x14ac:dyDescent="0.25">
      <c r="E8">
        <v>3</v>
      </c>
      <c r="F8" s="78" t="s">
        <v>242</v>
      </c>
    </row>
    <row r="9" spans="5:6" ht="21" x14ac:dyDescent="0.25">
      <c r="E9">
        <v>4</v>
      </c>
      <c r="F9" s="78" t="s">
        <v>243</v>
      </c>
    </row>
    <row r="10" spans="5:6" ht="21" x14ac:dyDescent="0.25">
      <c r="E10">
        <v>5</v>
      </c>
      <c r="F10" s="80" t="s">
        <v>244</v>
      </c>
    </row>
    <row r="11" spans="5:6" ht="21" x14ac:dyDescent="0.25">
      <c r="E11">
        <v>6</v>
      </c>
      <c r="F11" s="78" t="s">
        <v>245</v>
      </c>
    </row>
    <row r="12" spans="5:6" ht="21" x14ac:dyDescent="0.25">
      <c r="E12">
        <v>7</v>
      </c>
      <c r="F12" s="78" t="s">
        <v>246</v>
      </c>
    </row>
    <row r="13" spans="5:6" ht="21" x14ac:dyDescent="0.25">
      <c r="E13">
        <v>8</v>
      </c>
      <c r="F13" s="80" t="s">
        <v>247</v>
      </c>
    </row>
    <row r="14" spans="5:6" ht="21" x14ac:dyDescent="0.25">
      <c r="E14">
        <v>9</v>
      </c>
      <c r="F14" s="78" t="s">
        <v>248</v>
      </c>
    </row>
    <row r="15" spans="5:6" ht="21" x14ac:dyDescent="0.25">
      <c r="E15">
        <v>10</v>
      </c>
      <c r="F15" s="78" t="s">
        <v>249</v>
      </c>
    </row>
    <row r="19" spans="6:6" ht="21" x14ac:dyDescent="0.25">
      <c r="F19" s="78" t="s">
        <v>253</v>
      </c>
    </row>
    <row r="21" spans="6:6" ht="21" x14ac:dyDescent="0.25">
      <c r="F21" s="78" t="s">
        <v>254</v>
      </c>
    </row>
    <row r="22" spans="6:6" ht="21" x14ac:dyDescent="0.25">
      <c r="F22" s="78" t="s">
        <v>260</v>
      </c>
    </row>
    <row r="23" spans="6:6" ht="21" x14ac:dyDescent="0.25">
      <c r="F23" s="78" t="s">
        <v>261</v>
      </c>
    </row>
    <row r="24" spans="6:6" ht="21" x14ac:dyDescent="0.25">
      <c r="F24" s="78" t="s">
        <v>259</v>
      </c>
    </row>
    <row r="26" spans="6:6" ht="21" x14ac:dyDescent="0.25">
      <c r="F26" s="78" t="s">
        <v>255</v>
      </c>
    </row>
    <row r="27" spans="6:6" ht="21" x14ac:dyDescent="0.25">
      <c r="F27" s="78" t="s">
        <v>262</v>
      </c>
    </row>
    <row r="28" spans="6:6" ht="21" x14ac:dyDescent="0.25">
      <c r="F28" s="78" t="s">
        <v>264</v>
      </c>
    </row>
    <row r="29" spans="6:6" ht="21" x14ac:dyDescent="0.25">
      <c r="F29" s="78" t="s">
        <v>263</v>
      </c>
    </row>
    <row r="31" spans="6:6" ht="21" x14ac:dyDescent="0.25">
      <c r="F31" s="78" t="s">
        <v>256</v>
      </c>
    </row>
    <row r="32" spans="6:6" ht="21" x14ac:dyDescent="0.25">
      <c r="F32" s="78" t="s">
        <v>265</v>
      </c>
    </row>
    <row r="33" spans="6:6" ht="21" x14ac:dyDescent="0.25">
      <c r="F33" s="78" t="s">
        <v>267</v>
      </c>
    </row>
    <row r="34" spans="6:6" ht="21" x14ac:dyDescent="0.25">
      <c r="F34" s="78" t="s">
        <v>266</v>
      </c>
    </row>
    <row r="36" spans="6:6" ht="21" x14ac:dyDescent="0.25">
      <c r="F36" s="78" t="s">
        <v>257</v>
      </c>
    </row>
    <row r="37" spans="6:6" ht="21" x14ac:dyDescent="0.25">
      <c r="F37" s="78" t="s">
        <v>268</v>
      </c>
    </row>
    <row r="38" spans="6:6" ht="21" x14ac:dyDescent="0.25">
      <c r="F38" s="78" t="s">
        <v>269</v>
      </c>
    </row>
    <row r="39" spans="6:6" ht="21" x14ac:dyDescent="0.25">
      <c r="F39" s="78" t="s">
        <v>270</v>
      </c>
    </row>
    <row r="41" spans="6:6" ht="21" x14ac:dyDescent="0.25">
      <c r="F41" s="78" t="s">
        <v>258</v>
      </c>
    </row>
    <row r="42" spans="6:6" ht="21" x14ac:dyDescent="0.25">
      <c r="F42" s="78" t="s">
        <v>271</v>
      </c>
    </row>
    <row r="43" spans="6:6" ht="21" x14ac:dyDescent="0.25">
      <c r="F43" s="78" t="s">
        <v>273</v>
      </c>
    </row>
    <row r="44" spans="6:6" ht="21" x14ac:dyDescent="0.25">
      <c r="F44" s="78" t="s">
        <v>272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25D8-1B41-6E4B-8987-4BA71A6DBE46}">
  <dimension ref="A1:I20"/>
  <sheetViews>
    <sheetView workbookViewId="0">
      <selection activeCell="A18" sqref="A18"/>
    </sheetView>
  </sheetViews>
  <sheetFormatPr baseColWidth="10" defaultRowHeight="17" x14ac:dyDescent="0.25"/>
  <cols>
    <col min="1" max="1" width="15.83203125" bestFit="1" customWidth="1"/>
    <col min="2" max="2" width="16" bestFit="1" customWidth="1"/>
    <col min="3" max="3" width="40.6640625" bestFit="1" customWidth="1"/>
    <col min="4" max="4" width="59.1640625" bestFit="1" customWidth="1"/>
  </cols>
  <sheetData>
    <row r="1" spans="1:9" x14ac:dyDescent="0.25">
      <c r="A1" s="88" t="s">
        <v>196</v>
      </c>
      <c r="B1" s="64" t="s">
        <v>219</v>
      </c>
      <c r="C1" s="64" t="s">
        <v>220</v>
      </c>
      <c r="D1" s="64" t="s">
        <v>320</v>
      </c>
      <c r="E1" s="89">
        <v>1</v>
      </c>
      <c r="F1" s="64"/>
      <c r="G1" s="64"/>
      <c r="H1" s="64"/>
      <c r="I1" s="64"/>
    </row>
    <row r="2" spans="1:9" x14ac:dyDescent="0.25">
      <c r="A2" s="88" t="s">
        <v>196</v>
      </c>
      <c r="B2" s="64" t="s">
        <v>219</v>
      </c>
      <c r="C2" s="64" t="s">
        <v>220</v>
      </c>
      <c r="D2" s="64" t="s">
        <v>293</v>
      </c>
      <c r="E2" s="89">
        <v>2</v>
      </c>
      <c r="F2" s="64" t="s">
        <v>293</v>
      </c>
      <c r="G2" s="64"/>
      <c r="H2" s="64"/>
      <c r="I2" s="64"/>
    </row>
    <row r="3" spans="1:9" x14ac:dyDescent="0.25">
      <c r="A3" s="88" t="s">
        <v>196</v>
      </c>
      <c r="B3" s="64" t="s">
        <v>219</v>
      </c>
      <c r="C3" s="64" t="s">
        <v>220</v>
      </c>
      <c r="D3" s="64" t="s">
        <v>225</v>
      </c>
      <c r="E3" s="89">
        <v>3</v>
      </c>
      <c r="F3" s="64"/>
      <c r="G3" s="64"/>
      <c r="H3" s="64"/>
      <c r="I3" s="64"/>
    </row>
    <row r="7" spans="1:9" x14ac:dyDescent="0.25">
      <c r="A7" t="s">
        <v>428</v>
      </c>
    </row>
    <row r="8" spans="1:9" x14ac:dyDescent="0.25">
      <c r="A8" s="26" t="s">
        <v>232</v>
      </c>
      <c r="B8" s="64" t="s">
        <v>446</v>
      </c>
      <c r="C8" s="26" t="s">
        <v>448</v>
      </c>
      <c r="D8" s="26" t="s">
        <v>369</v>
      </c>
      <c r="E8" s="65">
        <v>1</v>
      </c>
      <c r="F8" s="26" t="str">
        <f>D8</f>
        <v>is niet voldoende om de verwachte minimale kasstroom te kunnen handhaven</v>
      </c>
      <c r="G8" s="26"/>
      <c r="H8" s="26"/>
      <c r="I8" s="26"/>
    </row>
    <row r="9" spans="1:9" x14ac:dyDescent="0.25">
      <c r="A9" s="26" t="s">
        <v>232</v>
      </c>
      <c r="B9" s="64" t="s">
        <v>446</v>
      </c>
      <c r="C9" s="26" t="s">
        <v>448</v>
      </c>
      <c r="D9" s="26" t="s">
        <v>370</v>
      </c>
      <c r="E9" s="65">
        <v>2</v>
      </c>
      <c r="F9" s="26"/>
      <c r="G9" s="26"/>
      <c r="H9" s="26"/>
      <c r="I9" s="26"/>
    </row>
    <row r="10" spans="1:9" x14ac:dyDescent="0.25">
      <c r="A10" s="26" t="s">
        <v>232</v>
      </c>
      <c r="B10" s="64" t="s">
        <v>446</v>
      </c>
      <c r="C10" s="26" t="s">
        <v>448</v>
      </c>
      <c r="D10" s="26" t="s">
        <v>371</v>
      </c>
      <c r="E10" s="65">
        <v>3</v>
      </c>
      <c r="F10" s="26"/>
      <c r="G10" s="26"/>
      <c r="H10" s="26"/>
      <c r="I10" s="26"/>
    </row>
    <row r="12" spans="1:9" x14ac:dyDescent="0.25">
      <c r="A12" s="26" t="s">
        <v>232</v>
      </c>
      <c r="B12" s="64" t="s">
        <v>139</v>
      </c>
      <c r="C12" s="26" t="s">
        <v>378</v>
      </c>
      <c r="D12" s="26" t="s">
        <v>379</v>
      </c>
      <c r="E12" s="65">
        <v>1</v>
      </c>
      <c r="F12" s="26"/>
    </row>
    <row r="13" spans="1:9" x14ac:dyDescent="0.25">
      <c r="A13" s="26" t="s">
        <v>232</v>
      </c>
      <c r="B13" s="64" t="s">
        <v>139</v>
      </c>
      <c r="C13" s="26" t="s">
        <v>378</v>
      </c>
      <c r="D13" s="26" t="s">
        <v>380</v>
      </c>
      <c r="E13" s="65">
        <v>2</v>
      </c>
      <c r="F13" s="26"/>
    </row>
    <row r="14" spans="1:9" x14ac:dyDescent="0.25">
      <c r="A14" s="26" t="s">
        <v>232</v>
      </c>
      <c r="B14" s="64" t="s">
        <v>139</v>
      </c>
      <c r="C14" s="26" t="s">
        <v>378</v>
      </c>
      <c r="D14" s="26" t="s">
        <v>381</v>
      </c>
      <c r="E14" s="65">
        <v>3</v>
      </c>
      <c r="F14" s="26" t="str">
        <f>D14</f>
        <v>is meer dan voldoende en het vermogen in de besloten vennootschap kan blijven groeien, behoudens evt. onttrekkingen voor het betalen van belasting</v>
      </c>
    </row>
    <row r="17" spans="1:9" x14ac:dyDescent="0.25">
      <c r="A17" s="26" t="s">
        <v>443</v>
      </c>
    </row>
    <row r="18" spans="1:9" x14ac:dyDescent="0.25">
      <c r="A18" s="81" t="s">
        <v>196</v>
      </c>
      <c r="B18" s="26" t="s">
        <v>274</v>
      </c>
      <c r="C18" s="26" t="s">
        <v>363</v>
      </c>
      <c r="D18" s="26" t="s">
        <v>275</v>
      </c>
      <c r="E18" s="66">
        <v>1</v>
      </c>
      <c r="F18" s="26"/>
      <c r="G18" s="26"/>
      <c r="H18" s="26"/>
      <c r="I18" s="26"/>
    </row>
    <row r="19" spans="1:9" x14ac:dyDescent="0.25">
      <c r="A19" s="81" t="s">
        <v>196</v>
      </c>
      <c r="B19" s="26" t="s">
        <v>274</v>
      </c>
      <c r="C19" s="26" t="s">
        <v>363</v>
      </c>
      <c r="D19" s="26" t="s">
        <v>277</v>
      </c>
      <c r="E19" s="66">
        <v>2</v>
      </c>
      <c r="F19" s="26" t="str">
        <f>D19</f>
        <v>is minder dan 20%</v>
      </c>
      <c r="G19" s="26"/>
      <c r="H19" s="26"/>
      <c r="I19" s="26"/>
    </row>
    <row r="20" spans="1:9" x14ac:dyDescent="0.25">
      <c r="A20" s="81" t="s">
        <v>196</v>
      </c>
      <c r="B20" s="26" t="s">
        <v>274</v>
      </c>
      <c r="C20" s="26" t="s">
        <v>363</v>
      </c>
      <c r="D20" s="26" t="s">
        <v>276</v>
      </c>
      <c r="E20" s="66">
        <v>3</v>
      </c>
      <c r="F20" s="26"/>
      <c r="G20" s="26"/>
      <c r="H20" s="26"/>
      <c r="I20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Risicoprofiel bepalen - bron</vt:lpstr>
      <vt:lpstr>vragen org</vt:lpstr>
      <vt:lpstr>vragen_antwoorden org</vt:lpstr>
      <vt:lpstr>vragen_antwoorden_prive_nl</vt:lpstr>
      <vt:lpstr>vragen_antwoorden_prive_en</vt:lpstr>
      <vt:lpstr>vragen_antwoorden_enof_nl</vt:lpstr>
      <vt:lpstr>vragen_antwoorden_enof_en</vt:lpstr>
      <vt:lpstr>vragen_antwoorden_bv_nl</vt:lpstr>
      <vt:lpstr>vragen_antwoorden_bv_en</vt:lpstr>
      <vt:lpstr>vragen_antwoorden_ve_nl</vt:lpstr>
      <vt:lpstr>vragen_antwoorden_ve_en</vt:lpstr>
      <vt:lpstr>vragen_antwoorden_st_backup</vt:lpstr>
      <vt:lpstr>vragen_antwoorden_ov_backup</vt:lpstr>
      <vt:lpstr>vertaaltabel</vt:lpstr>
      <vt:lpstr>Sheet1</vt:lpstr>
      <vt:lpstr>geschrapte vragen</vt:lpstr>
      <vt:lpstr>'Risicoprofiel bepalen - bron'!Print_Area</vt:lpstr>
      <vt:lpstr>'Risicoprofiel bepalen - bron'!Print_Titles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JJAC</dc:creator>
  <cp:keywords/>
  <dc:description/>
  <cp:lastModifiedBy>Pieter Prins</cp:lastModifiedBy>
  <cp:lastPrinted>2021-01-04T09:01:07Z</cp:lastPrinted>
  <dcterms:created xsi:type="dcterms:W3CDTF">2014-01-10T09:49:42Z</dcterms:created>
  <dcterms:modified xsi:type="dcterms:W3CDTF">2026-01-18T14:29:44Z</dcterms:modified>
  <cp:category/>
</cp:coreProperties>
</file>